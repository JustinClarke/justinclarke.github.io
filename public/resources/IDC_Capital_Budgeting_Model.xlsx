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lae\Downloads\"/>
    </mc:Choice>
  </mc:AlternateContent>
  <xr:revisionPtr revIDLastSave="0" documentId="13_ncr:1_{7F5FEB7C-5BE6-4209-B45E-9FE1FDD86F84}" xr6:coauthVersionLast="47" xr6:coauthVersionMax="47" xr10:uidLastSave="{00000000-0000-0000-0000-000000000000}"/>
  <bookViews>
    <workbookView xWindow="-110" yWindow="-110" windowWidth="25820" windowHeight="16220" tabRatio="683" xr2:uid="{00000000-000D-0000-FFFF-FFFF00000000}"/>
  </bookViews>
  <sheets>
    <sheet name="Cover" sheetId="1" r:id="rId1"/>
    <sheet name="Recommendation" sheetId="2" r:id="rId2"/>
    <sheet name="Assumptions" sheetId="3" r:id="rId3"/>
    <sheet name="WACC" sheetId="4" r:id="rId4"/>
    <sheet name="Depreciation" sheetId="5" r:id="rId5"/>
    <sheet name="Loan Schedule" sheetId="6" r:id="rId6"/>
    <sheet name="Working Capital" sheetId="8" r:id="rId7"/>
    <sheet name="P&amp;L and FCF" sheetId="7" r:id="rId8"/>
    <sheet name="Scenarios" sheetId="9" r:id="rId9"/>
    <sheet name="Sources &amp; Notes" sheetId="10" r:id="rId10"/>
    <sheet name="Sources &amp; Notes1" sheetId="11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9" l="1"/>
  <c r="D26" i="9"/>
  <c r="D42" i="7"/>
  <c r="D10" i="5"/>
  <c r="L10" i="5"/>
  <c r="L21" i="5"/>
  <c r="G10" i="5"/>
  <c r="K9" i="5"/>
  <c r="L9" i="5"/>
  <c r="D25" i="5"/>
  <c r="B7" i="9"/>
  <c r="B8" i="9"/>
  <c r="C8" i="9"/>
  <c r="C9" i="9" s="1"/>
  <c r="C10" i="9" s="1"/>
  <c r="C11" i="9" s="1"/>
  <c r="C7" i="9"/>
  <c r="G24" i="5"/>
  <c r="E9" i="5"/>
  <c r="E23" i="5" s="1"/>
  <c r="E29" i="7" s="1"/>
  <c r="E36" i="7" s="1"/>
  <c r="L15" i="5"/>
  <c r="K15" i="5"/>
  <c r="I15" i="5"/>
  <c r="G15" i="5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D7" i="9"/>
  <c r="B6" i="8"/>
  <c r="C6" i="8" s="1"/>
  <c r="D6" i="8" s="1"/>
  <c r="L5" i="8"/>
  <c r="K5" i="8"/>
  <c r="J5" i="8"/>
  <c r="I5" i="8"/>
  <c r="H5" i="8"/>
  <c r="G5" i="8"/>
  <c r="F5" i="8"/>
  <c r="E5" i="8"/>
  <c r="D5" i="8"/>
  <c r="C5" i="8"/>
  <c r="B5" i="8"/>
  <c r="L39" i="7"/>
  <c r="B37" i="7"/>
  <c r="D36" i="7"/>
  <c r="C36" i="7"/>
  <c r="K22" i="7"/>
  <c r="J22" i="7"/>
  <c r="I22" i="7"/>
  <c r="F22" i="7"/>
  <c r="D22" i="7"/>
  <c r="C22" i="7"/>
  <c r="C21" i="7"/>
  <c r="D21" i="7" s="1"/>
  <c r="E21" i="7" s="1"/>
  <c r="F21" i="7" s="1"/>
  <c r="G21" i="7" s="1"/>
  <c r="H21" i="7" s="1"/>
  <c r="I21" i="7" s="1"/>
  <c r="J21" i="7" s="1"/>
  <c r="K21" i="7" s="1"/>
  <c r="L21" i="7" s="1"/>
  <c r="C20" i="7"/>
  <c r="D20" i="7" s="1"/>
  <c r="E20" i="7" s="1"/>
  <c r="F20" i="7" s="1"/>
  <c r="G20" i="7" s="1"/>
  <c r="H20" i="7" s="1"/>
  <c r="I20" i="7" s="1"/>
  <c r="J20" i="7" s="1"/>
  <c r="K20" i="7" s="1"/>
  <c r="L20" i="7" s="1"/>
  <c r="D19" i="7"/>
  <c r="E19" i="7" s="1"/>
  <c r="F19" i="7" s="1"/>
  <c r="G19" i="7" s="1"/>
  <c r="H19" i="7" s="1"/>
  <c r="I19" i="7" s="1"/>
  <c r="J19" i="7" s="1"/>
  <c r="K19" i="7" s="1"/>
  <c r="L19" i="7" s="1"/>
  <c r="C19" i="7"/>
  <c r="C18" i="7"/>
  <c r="D18" i="7" s="1"/>
  <c r="E18" i="7" s="1"/>
  <c r="F18" i="7" s="1"/>
  <c r="G18" i="7" s="1"/>
  <c r="H18" i="7" s="1"/>
  <c r="I18" i="7" s="1"/>
  <c r="J18" i="7" s="1"/>
  <c r="K18" i="7" s="1"/>
  <c r="L18" i="7" s="1"/>
  <c r="D17" i="7"/>
  <c r="C17" i="7"/>
  <c r="C16" i="7"/>
  <c r="D16" i="7" s="1"/>
  <c r="E16" i="7" s="1"/>
  <c r="H15" i="7"/>
  <c r="G15" i="7"/>
  <c r="C14" i="7"/>
  <c r="D14" i="7" s="1"/>
  <c r="E14" i="7" s="1"/>
  <c r="F14" i="7" s="1"/>
  <c r="G14" i="7" s="1"/>
  <c r="H14" i="7" s="1"/>
  <c r="I14" i="7" s="1"/>
  <c r="C12" i="7"/>
  <c r="D12" i="7" s="1"/>
  <c r="E12" i="7" s="1"/>
  <c r="F12" i="7" s="1"/>
  <c r="G12" i="7" s="1"/>
  <c r="H12" i="7" s="1"/>
  <c r="I12" i="7" s="1"/>
  <c r="J12" i="7" s="1"/>
  <c r="K12" i="7" s="1"/>
  <c r="C8" i="7"/>
  <c r="D8" i="7" s="1"/>
  <c r="E8" i="7" s="1"/>
  <c r="F8" i="7" s="1"/>
  <c r="G8" i="7" s="1"/>
  <c r="L7" i="7"/>
  <c r="K7" i="7"/>
  <c r="J7" i="7"/>
  <c r="I7" i="7"/>
  <c r="H7" i="7"/>
  <c r="G7" i="7"/>
  <c r="F7" i="7"/>
  <c r="F15" i="7" s="1"/>
  <c r="E7" i="7"/>
  <c r="E15" i="7" s="1"/>
  <c r="D7" i="7"/>
  <c r="C7" i="7"/>
  <c r="E4" i="7"/>
  <c r="F4" i="7" s="1"/>
  <c r="G4" i="7" s="1"/>
  <c r="H4" i="7" s="1"/>
  <c r="I4" i="7" s="1"/>
  <c r="J4" i="7" s="1"/>
  <c r="K4" i="7" s="1"/>
  <c r="L4" i="7" s="1"/>
  <c r="D4" i="7"/>
  <c r="B9" i="6"/>
  <c r="B6" i="6"/>
  <c r="B5" i="6"/>
  <c r="B4" i="6"/>
  <c r="B3" i="6"/>
  <c r="B27" i="5"/>
  <c r="B26" i="5"/>
  <c r="L23" i="5"/>
  <c r="L29" i="7" s="1"/>
  <c r="L36" i="7" s="1"/>
  <c r="K23" i="5"/>
  <c r="K29" i="7" s="1"/>
  <c r="K36" i="7" s="1"/>
  <c r="C23" i="5"/>
  <c r="C29" i="7" s="1"/>
  <c r="B21" i="5"/>
  <c r="C21" i="5" s="1"/>
  <c r="L20" i="5"/>
  <c r="L22" i="7" s="1"/>
  <c r="K20" i="5"/>
  <c r="J20" i="5"/>
  <c r="I20" i="5"/>
  <c r="H20" i="5"/>
  <c r="H22" i="7" s="1"/>
  <c r="G20" i="5"/>
  <c r="G22" i="7" s="1"/>
  <c r="F20" i="5"/>
  <c r="E20" i="5"/>
  <c r="E22" i="7" s="1"/>
  <c r="D20" i="5"/>
  <c r="D23" i="5" s="1"/>
  <c r="D29" i="7" s="1"/>
  <c r="C20" i="5"/>
  <c r="L19" i="5"/>
  <c r="B18" i="5"/>
  <c r="B15" i="5"/>
  <c r="C15" i="5" s="1"/>
  <c r="L14" i="5"/>
  <c r="K14" i="5"/>
  <c r="J14" i="5"/>
  <c r="I14" i="5"/>
  <c r="H14" i="5"/>
  <c r="G14" i="5"/>
  <c r="F14" i="5"/>
  <c r="E14" i="5"/>
  <c r="D14" i="5"/>
  <c r="C14" i="5"/>
  <c r="B13" i="5"/>
  <c r="B10" i="5"/>
  <c r="J9" i="5"/>
  <c r="J23" i="5" s="1"/>
  <c r="J29" i="7" s="1"/>
  <c r="J36" i="7" s="1"/>
  <c r="I9" i="5"/>
  <c r="I23" i="5" s="1"/>
  <c r="I29" i="7" s="1"/>
  <c r="I36" i="7" s="1"/>
  <c r="H9" i="5"/>
  <c r="H23" i="5" s="1"/>
  <c r="H29" i="7" s="1"/>
  <c r="H36" i="7" s="1"/>
  <c r="G9" i="5"/>
  <c r="G23" i="5" s="1"/>
  <c r="G29" i="7" s="1"/>
  <c r="G36" i="7" s="1"/>
  <c r="F9" i="5"/>
  <c r="F23" i="5" s="1"/>
  <c r="F29" i="7" s="1"/>
  <c r="F36" i="7" s="1"/>
  <c r="D9" i="5"/>
  <c r="C9" i="5"/>
  <c r="L8" i="5"/>
  <c r="G7" i="5"/>
  <c r="G37" i="7" s="1"/>
  <c r="B6" i="5"/>
  <c r="B23" i="4"/>
  <c r="B24" i="4" s="1"/>
  <c r="B22" i="4"/>
  <c r="B20" i="4"/>
  <c r="B19" i="4"/>
  <c r="B13" i="4"/>
  <c r="B12" i="4"/>
  <c r="B15" i="4" s="1"/>
  <c r="B11" i="4"/>
  <c r="B14" i="4" s="1"/>
  <c r="D7" i="4"/>
  <c r="E7" i="4" s="1"/>
  <c r="D6" i="4"/>
  <c r="E6" i="4" s="1"/>
  <c r="E5" i="4"/>
  <c r="D5" i="4"/>
  <c r="B26" i="3"/>
  <c r="L12" i="7" l="1"/>
  <c r="L13" i="7" s="1"/>
  <c r="K13" i="7"/>
  <c r="H8" i="7"/>
  <c r="I8" i="7" s="1"/>
  <c r="J8" i="7" s="1"/>
  <c r="K8" i="7" s="1"/>
  <c r="L8" i="7" s="1"/>
  <c r="G9" i="7"/>
  <c r="C26" i="5"/>
  <c r="D15" i="5"/>
  <c r="B25" i="5"/>
  <c r="B24" i="5"/>
  <c r="C10" i="5"/>
  <c r="C13" i="7"/>
  <c r="C15" i="7"/>
  <c r="C9" i="7"/>
  <c r="E11" i="6"/>
  <c r="E14" i="6"/>
  <c r="E16" i="6"/>
  <c r="E17" i="6"/>
  <c r="E10" i="6"/>
  <c r="E9" i="6"/>
  <c r="E13" i="6"/>
  <c r="E12" i="6"/>
  <c r="E15" i="6"/>
  <c r="E18" i="6"/>
  <c r="K9" i="7"/>
  <c r="D15" i="7"/>
  <c r="D9" i="7"/>
  <c r="D13" i="7"/>
  <c r="B9" i="8"/>
  <c r="B11" i="8" s="1"/>
  <c r="B38" i="7" s="1"/>
  <c r="B42" i="7" s="1"/>
  <c r="J14" i="7"/>
  <c r="I15" i="7"/>
  <c r="L9" i="7"/>
  <c r="E6" i="8"/>
  <c r="E8" i="4"/>
  <c r="B16" i="4" s="1"/>
  <c r="B21" i="4" s="1"/>
  <c r="B26" i="4" s="1"/>
  <c r="G13" i="7"/>
  <c r="H9" i="7"/>
  <c r="F16" i="7"/>
  <c r="E17" i="7"/>
  <c r="I13" i="7"/>
  <c r="J13" i="7"/>
  <c r="D21" i="5"/>
  <c r="C27" i="5"/>
  <c r="C9" i="6"/>
  <c r="E9" i="7"/>
  <c r="F9" i="7"/>
  <c r="I9" i="7"/>
  <c r="J9" i="7"/>
  <c r="F13" i="7"/>
  <c r="E13" i="7"/>
  <c r="H13" i="7"/>
  <c r="B44" i="7" l="1"/>
  <c r="K44" i="7"/>
  <c r="C18" i="9"/>
  <c r="D48" i="9"/>
  <c r="D44" i="9"/>
  <c r="L44" i="7"/>
  <c r="J44" i="7"/>
  <c r="D43" i="9"/>
  <c r="I44" i="7"/>
  <c r="H44" i="7"/>
  <c r="G44" i="7"/>
  <c r="F44" i="7"/>
  <c r="D18" i="9"/>
  <c r="E44" i="7"/>
  <c r="D46" i="9"/>
  <c r="B18" i="9"/>
  <c r="D44" i="7"/>
  <c r="C44" i="7"/>
  <c r="D47" i="9"/>
  <c r="D49" i="9"/>
  <c r="D45" i="9"/>
  <c r="D8" i="8"/>
  <c r="C23" i="7"/>
  <c r="C7" i="8"/>
  <c r="C24" i="7"/>
  <c r="C28" i="7"/>
  <c r="C30" i="7" s="1"/>
  <c r="C25" i="7"/>
  <c r="D23" i="7"/>
  <c r="D26" i="7" s="1"/>
  <c r="D28" i="7" s="1"/>
  <c r="D30" i="7" s="1"/>
  <c r="D7" i="8"/>
  <c r="D9" i="8" s="1"/>
  <c r="D24" i="7"/>
  <c r="D25" i="7"/>
  <c r="B26" i="9"/>
  <c r="B28" i="9"/>
  <c r="B45" i="7"/>
  <c r="B43" i="7"/>
  <c r="B27" i="9"/>
  <c r="E8" i="8"/>
  <c r="K24" i="7"/>
  <c r="K25" i="7"/>
  <c r="K23" i="7"/>
  <c r="K7" i="8"/>
  <c r="H24" i="7"/>
  <c r="H25" i="7"/>
  <c r="H7" i="8"/>
  <c r="H23" i="7"/>
  <c r="F23" i="7"/>
  <c r="F7" i="8"/>
  <c r="F24" i="7"/>
  <c r="F25" i="7"/>
  <c r="C26" i="7"/>
  <c r="C8" i="8"/>
  <c r="E19" i="6"/>
  <c r="D9" i="6"/>
  <c r="C25" i="5"/>
  <c r="C24" i="5"/>
  <c r="I24" i="7"/>
  <c r="I25" i="7"/>
  <c r="I23" i="7"/>
  <c r="I7" i="8"/>
  <c r="F6" i="8"/>
  <c r="J24" i="7"/>
  <c r="J25" i="7"/>
  <c r="J23" i="7"/>
  <c r="J7" i="8"/>
  <c r="L24" i="7"/>
  <c r="L25" i="7"/>
  <c r="L23" i="7"/>
  <c r="L7" i="8"/>
  <c r="G16" i="7"/>
  <c r="F17" i="7"/>
  <c r="F26" i="7" s="1"/>
  <c r="F28" i="7" s="1"/>
  <c r="F30" i="7" s="1"/>
  <c r="D26" i="5"/>
  <c r="B12" i="9" s="1"/>
  <c r="E15" i="5"/>
  <c r="E23" i="7"/>
  <c r="E7" i="8"/>
  <c r="E9" i="8" s="1"/>
  <c r="E11" i="8" s="1"/>
  <c r="E38" i="7" s="1"/>
  <c r="E24" i="7"/>
  <c r="E26" i="7" s="1"/>
  <c r="E28" i="7" s="1"/>
  <c r="E30" i="7" s="1"/>
  <c r="E25" i="7"/>
  <c r="G7" i="8"/>
  <c r="G24" i="7"/>
  <c r="G25" i="7"/>
  <c r="G23" i="7"/>
  <c r="D27" i="5"/>
  <c r="B13" i="9" s="1"/>
  <c r="E21" i="5"/>
  <c r="K14" i="7"/>
  <c r="J15" i="7"/>
  <c r="D31" i="7" l="1"/>
  <c r="D32" i="7" s="1"/>
  <c r="D35" i="7" s="1"/>
  <c r="E31" i="7"/>
  <c r="E32" i="7" s="1"/>
  <c r="E35" i="7" s="1"/>
  <c r="E42" i="7" s="1"/>
  <c r="F31" i="7"/>
  <c r="F32" i="7" s="1"/>
  <c r="F35" i="7" s="1"/>
  <c r="F42" i="7" s="1"/>
  <c r="L14" i="7"/>
  <c r="L15" i="7" s="1"/>
  <c r="K15" i="7"/>
  <c r="G6" i="8"/>
  <c r="F9" i="8"/>
  <c r="F11" i="8" s="1"/>
  <c r="F38" i="7" s="1"/>
  <c r="E27" i="5"/>
  <c r="F21" i="5"/>
  <c r="B14" i="9"/>
  <c r="C9" i="8"/>
  <c r="C11" i="8" s="1"/>
  <c r="C38" i="7" s="1"/>
  <c r="H16" i="7"/>
  <c r="G17" i="7"/>
  <c r="C31" i="7"/>
  <c r="C32" i="7" s="1"/>
  <c r="C35" i="7" s="1"/>
  <c r="C42" i="7" s="1"/>
  <c r="F8" i="8"/>
  <c r="B31" i="9"/>
  <c r="B32" i="9"/>
  <c r="F9" i="6"/>
  <c r="B10" i="6" s="1"/>
  <c r="B30" i="9"/>
  <c r="B10" i="9"/>
  <c r="B11" i="9" s="1"/>
  <c r="D24" i="5"/>
  <c r="E10" i="5"/>
  <c r="F15" i="5"/>
  <c r="E26" i="5"/>
  <c r="C45" i="7" l="1"/>
  <c r="C28" i="9"/>
  <c r="C27" i="9"/>
  <c r="C26" i="9"/>
  <c r="C43" i="7"/>
  <c r="F45" i="7"/>
  <c r="F28" i="9"/>
  <c r="F27" i="9"/>
  <c r="E45" i="7"/>
  <c r="E28" i="9"/>
  <c r="E27" i="9"/>
  <c r="H6" i="8"/>
  <c r="G9" i="8"/>
  <c r="C10" i="6"/>
  <c r="D11" i="8"/>
  <c r="D38" i="7" s="1"/>
  <c r="C32" i="9"/>
  <c r="B15" i="9"/>
  <c r="G21" i="5"/>
  <c r="F27" i="5"/>
  <c r="E24" i="5"/>
  <c r="F10" i="5"/>
  <c r="E25" i="5"/>
  <c r="G26" i="7"/>
  <c r="G28" i="7" s="1"/>
  <c r="G30" i="7" s="1"/>
  <c r="G8" i="8"/>
  <c r="F26" i="5"/>
  <c r="C30" i="9"/>
  <c r="H17" i="7"/>
  <c r="I16" i="7"/>
  <c r="I6" i="8" l="1"/>
  <c r="F24" i="5"/>
  <c r="F25" i="5"/>
  <c r="J16" i="7"/>
  <c r="I17" i="7"/>
  <c r="D43" i="7"/>
  <c r="E43" i="7" s="1"/>
  <c r="F43" i="7" s="1"/>
  <c r="H26" i="7"/>
  <c r="H28" i="7" s="1"/>
  <c r="H30" i="7" s="1"/>
  <c r="H8" i="8"/>
  <c r="H9" i="8" s="1"/>
  <c r="H11" i="8" s="1"/>
  <c r="H38" i="7" s="1"/>
  <c r="D45" i="7"/>
  <c r="D28" i="9"/>
  <c r="D32" i="9" s="1"/>
  <c r="D27" i="9"/>
  <c r="D30" i="9"/>
  <c r="G26" i="5"/>
  <c r="C12" i="9" s="1"/>
  <c r="H15" i="5"/>
  <c r="G31" i="7"/>
  <c r="G32" i="7" s="1"/>
  <c r="G35" i="7" s="1"/>
  <c r="G42" i="7" s="1"/>
  <c r="G11" i="8"/>
  <c r="G38" i="7" s="1"/>
  <c r="C14" i="9"/>
  <c r="G27" i="5"/>
  <c r="C13" i="9" s="1"/>
  <c r="H21" i="5"/>
  <c r="D10" i="6"/>
  <c r="C31" i="9"/>
  <c r="B19" i="9" l="1"/>
  <c r="B14" i="1" s="1"/>
  <c r="B20" i="9"/>
  <c r="B15" i="1" s="1"/>
  <c r="E32" i="9"/>
  <c r="F32" i="9" s="1"/>
  <c r="G45" i="7"/>
  <c r="G28" i="9"/>
  <c r="G27" i="9"/>
  <c r="H27" i="5"/>
  <c r="I21" i="5"/>
  <c r="E30" i="9"/>
  <c r="F30" i="9" s="1"/>
  <c r="G30" i="9" s="1"/>
  <c r="H30" i="9" s="1"/>
  <c r="I30" i="9" s="1"/>
  <c r="J30" i="9" s="1"/>
  <c r="K30" i="9" s="1"/>
  <c r="L30" i="9" s="1"/>
  <c r="B21" i="9"/>
  <c r="I8" i="8"/>
  <c r="I26" i="7"/>
  <c r="I28" i="7" s="1"/>
  <c r="I30" i="7" s="1"/>
  <c r="K16" i="7"/>
  <c r="J17" i="7"/>
  <c r="F10" i="6"/>
  <c r="B11" i="6" s="1"/>
  <c r="H31" i="7"/>
  <c r="H32" i="7"/>
  <c r="H35" i="7" s="1"/>
  <c r="H42" i="7" s="1"/>
  <c r="C15" i="9"/>
  <c r="G43" i="7"/>
  <c r="H43" i="7" s="1"/>
  <c r="H10" i="5"/>
  <c r="I10" i="5" s="1"/>
  <c r="J10" i="5" s="1"/>
  <c r="G25" i="5"/>
  <c r="J6" i="8"/>
  <c r="I9" i="8"/>
  <c r="I11" i="8" s="1"/>
  <c r="I38" i="7" s="1"/>
  <c r="H26" i="5"/>
  <c r="D31" i="9"/>
  <c r="E31" i="9" s="1"/>
  <c r="F31" i="9" s="1"/>
  <c r="G31" i="9" s="1"/>
  <c r="H31" i="9" s="1"/>
  <c r="I31" i="9" s="1"/>
  <c r="J31" i="9" s="1"/>
  <c r="K31" i="9" s="1"/>
  <c r="L31" i="9" s="1"/>
  <c r="C12" i="2" l="1"/>
  <c r="C13" i="2"/>
  <c r="B22" i="9"/>
  <c r="B17" i="1" s="1"/>
  <c r="I31" i="7"/>
  <c r="I32" i="7"/>
  <c r="I35" i="7" s="1"/>
  <c r="I42" i="7" s="1"/>
  <c r="H24" i="5"/>
  <c r="H25" i="5"/>
  <c r="L16" i="7"/>
  <c r="L17" i="7" s="1"/>
  <c r="K17" i="7"/>
  <c r="C19" i="9"/>
  <c r="C20" i="9"/>
  <c r="B16" i="1"/>
  <c r="C14" i="2"/>
  <c r="I26" i="5"/>
  <c r="J15" i="5"/>
  <c r="K6" i="8"/>
  <c r="J9" i="8"/>
  <c r="J11" i="8" s="1"/>
  <c r="J38" i="7" s="1"/>
  <c r="J26" i="7"/>
  <c r="J28" i="7" s="1"/>
  <c r="J30" i="7" s="1"/>
  <c r="J8" i="8"/>
  <c r="I27" i="5"/>
  <c r="J21" i="5"/>
  <c r="I43" i="7"/>
  <c r="H28" i="9"/>
  <c r="H45" i="7"/>
  <c r="C11" i="6"/>
  <c r="C21" i="9"/>
  <c r="G32" i="9"/>
  <c r="J26" i="5" l="1"/>
  <c r="J31" i="7"/>
  <c r="J32" i="7"/>
  <c r="J35" i="7" s="1"/>
  <c r="J42" i="7" s="1"/>
  <c r="L6" i="8"/>
  <c r="H32" i="9"/>
  <c r="D11" i="6"/>
  <c r="L26" i="7"/>
  <c r="L28" i="7" s="1"/>
  <c r="L30" i="7" s="1"/>
  <c r="L8" i="8"/>
  <c r="L40" i="7" s="1"/>
  <c r="D14" i="2"/>
  <c r="C16" i="1"/>
  <c r="E49" i="9"/>
  <c r="E45" i="9"/>
  <c r="C22" i="9"/>
  <c r="C17" i="1" s="1"/>
  <c r="C14" i="1"/>
  <c r="E48" i="9"/>
  <c r="E44" i="9"/>
  <c r="E47" i="9"/>
  <c r="E43" i="9"/>
  <c r="D12" i="2"/>
  <c r="E46" i="9"/>
  <c r="K8" i="8"/>
  <c r="K9" i="8" s="1"/>
  <c r="K11" i="8" s="1"/>
  <c r="K38" i="7" s="1"/>
  <c r="K26" i="7"/>
  <c r="K28" i="7" s="1"/>
  <c r="K30" i="7" s="1"/>
  <c r="J43" i="7"/>
  <c r="J27" i="5"/>
  <c r="K21" i="5"/>
  <c r="I28" i="9"/>
  <c r="I45" i="7"/>
  <c r="C15" i="1"/>
  <c r="D13" i="2"/>
  <c r="I24" i="5"/>
  <c r="I25" i="5"/>
  <c r="L31" i="7" l="1"/>
  <c r="L32" i="7" s="1"/>
  <c r="L35" i="7" s="1"/>
  <c r="L9" i="8"/>
  <c r="K27" i="5"/>
  <c r="L27" i="5"/>
  <c r="D13" i="9" s="1"/>
  <c r="I32" i="9"/>
  <c r="J45" i="7"/>
  <c r="J28" i="9"/>
  <c r="J24" i="5"/>
  <c r="K10" i="5"/>
  <c r="J25" i="5"/>
  <c r="K31" i="7"/>
  <c r="K32" i="7" s="1"/>
  <c r="K35" i="7" s="1"/>
  <c r="K42" i="7" s="1"/>
  <c r="F11" i="6"/>
  <c r="B12" i="6" s="1"/>
  <c r="K26" i="5"/>
  <c r="L26" i="5"/>
  <c r="D12" i="9" s="1"/>
  <c r="K28" i="9" l="1"/>
  <c r="K45" i="7"/>
  <c r="K43" i="7"/>
  <c r="D14" i="9"/>
  <c r="L11" i="8"/>
  <c r="L38" i="7" s="1"/>
  <c r="L42" i="7" s="1"/>
  <c r="L45" i="7" s="1"/>
  <c r="C12" i="6"/>
  <c r="K24" i="5"/>
  <c r="K25" i="5"/>
  <c r="J32" i="9"/>
  <c r="K32" i="9" s="1"/>
  <c r="D12" i="6" l="1"/>
  <c r="L24" i="5"/>
  <c r="L25" i="5"/>
  <c r="D8" i="9" s="1"/>
  <c r="D9" i="9" s="1"/>
  <c r="D10" i="9" s="1"/>
  <c r="D11" i="9" s="1"/>
  <c r="D15" i="9" s="1"/>
  <c r="L28" i="9" s="1"/>
  <c r="L43" i="7"/>
  <c r="D19" i="9" l="1"/>
  <c r="D20" i="9"/>
  <c r="L32" i="9"/>
  <c r="D21" i="9" s="1"/>
  <c r="F12" i="6"/>
  <c r="B13" i="6" s="1"/>
  <c r="C13" i="6" l="1"/>
  <c r="D13" i="6" s="1"/>
  <c r="D15" i="1"/>
  <c r="E13" i="2"/>
  <c r="E14" i="2"/>
  <c r="D16" i="1"/>
  <c r="D22" i="9"/>
  <c r="D17" i="1" s="1"/>
  <c r="D14" i="1"/>
  <c r="E12" i="2"/>
  <c r="F13" i="6" l="1"/>
  <c r="B14" i="6" s="1"/>
  <c r="C14" i="6" l="1"/>
  <c r="D14" i="6" s="1"/>
  <c r="F14" i="6" s="1"/>
  <c r="B15" i="6" s="1"/>
  <c r="C15" i="6" l="1"/>
  <c r="D15" i="6" s="1"/>
  <c r="F15" i="6" s="1"/>
  <c r="B16" i="6" s="1"/>
  <c r="C16" i="6" l="1"/>
  <c r="D16" i="6" s="1"/>
  <c r="F16" i="6" s="1"/>
  <c r="B17" i="6" s="1"/>
  <c r="C17" i="6" l="1"/>
  <c r="D17" i="6" s="1"/>
  <c r="F17" i="6" s="1"/>
  <c r="B18" i="6" s="1"/>
  <c r="C18" i="6" l="1"/>
  <c r="D18" i="6" l="1"/>
  <c r="C19" i="6"/>
  <c r="D19" i="6" l="1"/>
  <c r="F1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7" authorId="0" shapeId="0" xr:uid="{00000000-0006-0000-0400-000001000000}">
      <text>
        <r>
          <rPr>
            <sz val="10"/>
            <rFont val="Arial"/>
            <family val="2"/>
          </rPr>
          <t>Capitalized at end of Y5; extends life 5 more years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1" authorId="0" shapeId="0" xr:uid="{00000000-0006-0000-0700-000001000000}">
      <text>
        <r>
          <rPr>
            <sz val="10"/>
            <rFont val="Arial"/>
            <family val="2"/>
          </rPr>
          <t>Year 0 NWC = initial investment in cash + inventory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L39" authorId="0" shapeId="0" xr:uid="{00000000-0006-0000-0600-000001000000}">
      <text>
        <r>
          <rPr>
            <sz val="10"/>
            <rFont val="Arial"/>
            <family val="2"/>
          </rPr>
          <t>Y10 salvage: heavy @12% + causeway @12%; aux @0%; NBVs match so no tax</t>
        </r>
      </text>
    </comment>
    <comment ref="L40" authorId="0" shapeId="0" xr:uid="{00000000-0006-0000-0600-000002000000}">
      <text>
        <r>
          <rPr>
            <sz val="10"/>
            <rFont val="Arial"/>
            <family val="2"/>
          </rPr>
          <t>Recover full ending NWC balance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26" authorId="0" shapeId="0" xr:uid="{00000000-0006-0000-0800-000001000000}">
      <text>
        <r>
          <rPr>
            <sz val="10"/>
            <rFont val="Arial"/>
            <family val="2"/>
          </rPr>
          <t>Y2 operating FCF + terminal cash flow for 2-yr case</t>
        </r>
      </text>
    </comment>
    <comment ref="G27" authorId="0" shapeId="0" xr:uid="{00000000-0006-0000-0800-000002000000}">
      <text>
        <r>
          <rPr>
            <sz val="10"/>
            <rFont val="Arial"/>
            <family val="2"/>
          </rPr>
          <t>Y5: operating FCF, add back the rehab capex (row G37 which is negative, so -G37 adds it back), + TV</t>
        </r>
      </text>
    </comment>
  </commentList>
</comments>
</file>

<file path=xl/sharedStrings.xml><?xml version="1.0" encoding="utf-8"?>
<sst xmlns="http://schemas.openxmlformats.org/spreadsheetml/2006/main" count="558" uniqueCount="405">
  <si>
    <t>ISLAND DEVELOPMENT CORPORATION (IDC)</t>
  </si>
  <si>
    <t>Capital Budgeting Analysis — Chiquita Island Quarry Project</t>
  </si>
  <si>
    <t>Prepared for Maximum Quality Equipment | September 2022</t>
  </si>
  <si>
    <t xml:space="preserve">  PROJECT OVERVIEW</t>
  </si>
  <si>
    <t>Proposal:</t>
  </si>
  <si>
    <t>Maximum to invest 49% equity in IDC, a JV with Caesar Construction, to operate a rock-armour quarry on Chiquita Island.</t>
  </si>
  <si>
    <t>Total Initial Investment:</t>
  </si>
  <si>
    <t>₱ 581.5M</t>
  </si>
  <si>
    <t>(Equity ₱479M + Debt ₱102.5M)</t>
  </si>
  <si>
    <t>Production Capacity:</t>
  </si>
  <si>
    <t>3.0 million tonnes/year</t>
  </si>
  <si>
    <t>MPSA Term:</t>
  </si>
  <si>
    <t>25 years (reserves ~25 yr)</t>
  </si>
  <si>
    <t>Contract Horizon:</t>
  </si>
  <si>
    <t>SMC offers 2-yr; IDC seeks 5-yr; industry norm 10-yr</t>
  </si>
  <si>
    <t xml:space="preserve">  KEY DECISION METRICS (linked from Scenarios sheet)</t>
  </si>
  <si>
    <t>2-Year Case</t>
  </si>
  <si>
    <t>5-Year Case</t>
  </si>
  <si>
    <t>10-Year Case</t>
  </si>
  <si>
    <t>NPV (₱ millions)</t>
  </si>
  <si>
    <t>IRR</t>
  </si>
  <si>
    <t>Payback (years)</t>
  </si>
  <si>
    <t>Decision vs. thresholds</t>
  </si>
  <si>
    <t xml:space="preserve">  WORKBOOK GUIDE</t>
  </si>
  <si>
    <t>Assumptions</t>
  </si>
  <si>
    <t>All model inputs: prices, volumes, tax rates, inflation, capex costs, financing terms (BLUE cells editable)</t>
  </si>
  <si>
    <t>WACC</t>
  </si>
  <si>
    <t>Comparable-company beta unlever/relever, CAPM cost of equity, WACC calculation</t>
  </si>
  <si>
    <t>Depreciation</t>
  </si>
  <si>
    <t>Straight-line schedule for heavy equipment, auxiliary, causeway. Year-5 rehab @ 40% extends heavy equipment life</t>
  </si>
  <si>
    <t>Loan Schedule</t>
  </si>
  <si>
    <t>10-year amortizing loan @ 9.1% on ₱102.5M bank debt</t>
  </si>
  <si>
    <t>P&amp;L and FCF</t>
  </si>
  <si>
    <t>10-year projection: revenue, opex, EBIT, taxes, depreciation add-back, working capital, unlevered FCF</t>
  </si>
  <si>
    <t>Working Capital</t>
  </si>
  <si>
    <t>NWC schedule: 60-day A/R, 30-day A/P on variable cost items, ₱100M operating cash, inventory</t>
  </si>
  <si>
    <t>Scenarios</t>
  </si>
  <si>
    <t>NPV / IRR / Payback for 2-, 5-, 10-year contract life with terminal values</t>
  </si>
  <si>
    <t xml:space="preserve">  LEGEND</t>
  </si>
  <si>
    <t>Blue text</t>
  </si>
  <si>
    <t>Hardcoded input (user editable)</t>
  </si>
  <si>
    <t>Black text</t>
  </si>
  <si>
    <t>Formula / calculation</t>
  </si>
  <si>
    <t>Green text</t>
  </si>
  <si>
    <t>Cross-sheet link</t>
  </si>
  <si>
    <t>Yellow fill</t>
  </si>
  <si>
    <t>Key assumption worth particular attention</t>
  </si>
  <si>
    <t>INVESTMENT RECOMMENDATION MEMO</t>
  </si>
  <si>
    <t>To: Albert Rodriguez, CEO — Maximum Quality Equipment</t>
  </si>
  <si>
    <t>From: Maynard Lascano, CFO  |  Re: Island Development Corporation (IDC) — Capital Budgeting</t>
  </si>
  <si>
    <t xml:space="preserve">  HEADLINE RECOMMENDATION</t>
  </si>
  <si>
    <t>Proceed with the IDC investment ONLY if Maximum and CCC can secure a contract of five years or longer from SMC. The 2-year contract SMC currently offers destroys value (NPV –₱60M, IRR 5.2% vs. WACC 11.1%); a 5-year contract creates ₱198M of value (IRR 19.9%); a 10-year horizon creates ₱478M (IRR 23.5%). Rodriguez's "payback under 2 years" threshold is achieved only in the 2-year case — but only because salvaging nearly-new equipment and recovering working capital front-loads cash; this is an artifact of truncating the project, not genuine economic recovery. Standard NPV/IRR rules should dominate.</t>
  </si>
  <si>
    <t xml:space="preserve">  KEY METRICS (WACC = 11.06%)</t>
  </si>
  <si>
    <t>Metric</t>
  </si>
  <si>
    <t>2-Year</t>
  </si>
  <si>
    <t>5-Year</t>
  </si>
  <si>
    <t>10-Year</t>
  </si>
  <si>
    <t>Threshold</t>
  </si>
  <si>
    <t>NPV (₱M)</t>
  </si>
  <si>
    <t>&gt; 0</t>
  </si>
  <si>
    <t>&gt; 11.06% WACC</t>
  </si>
  <si>
    <t>Payback (yrs)</t>
  </si>
  <si>
    <t>&lt; 2.00 (Rodriguez)</t>
  </si>
  <si>
    <t>Decision</t>
  </si>
  <si>
    <t>REJECT</t>
  </si>
  <si>
    <t>ACCEPT</t>
  </si>
  <si>
    <t>ACCEPT (ideal)</t>
  </si>
  <si>
    <t>On NPV/IRR basis</t>
  </si>
  <si>
    <t xml:space="preserve">  INTERPRETATION OF EACH SCENARIO</t>
  </si>
  <si>
    <t>Why the 2-year case fails economically</t>
  </si>
  <si>
    <t>The 2-year NPV is negative because heavy-equipment depreciation, the 40% share of revenue going to subcontractors, and the fuel bill (~₱429M/yr) leave only ~₱102M of annual NOPAT. Two years of that — even combined with a ₱473M terminal cash flow from selling nearly-new machines and unwinding working capital — is not enough to recover ₱581.5M of capital at an 11.06% cost. The 1.88-year payback is misleading: it is driven by asset liquidation, not operating generation.</t>
  </si>
  <si>
    <t>Why the 5-year case works</t>
  </si>
  <si>
    <t>The reclamation contract generates ~₱102M–₱140M/yr of NOPAT with no year-5 rehab capex needed (the project ends instead of extending), plus a ₱410M terminal cash flow. NPV of ₱198M at WACC and IRR of 19.9% sit comfortably above thresholds. Payback of 4.0 years breaches Rodriguez's personal rule but is normal for capital-intensive quarrying projects.</t>
  </si>
  <si>
    <t>Why the 10-year case is best</t>
  </si>
  <si>
    <t>The full industry-norm horizon — consistent with the 25-year MPSA — lets the project absorb the ₱152.4M Year-5 rehab capex and still deliver steady operating FCF plus a ₱398M terminal. NPV ₱478M and IRR 23.5% reflect the value of a long-duration, rights-protected asset.</t>
  </si>
  <si>
    <t xml:space="preserve">  STRATEGIC CONSIDERATIONS BEYOND NPV</t>
  </si>
  <si>
    <t>SMC relationship repair</t>
  </si>
  <si>
    <t>Maximum lost the SMC channel after the 2019 first-generation equipment quality issue. Rodriguez estimates ~₱200M of annual quotations to SMC that are currently failing to convert. The IDC channel — supplying equipment to the JV and building credibility on-site — creates an option to recapture that annualized flow and other SMC infrastructure work. That option value is NOT in the NPV above and should be explicitly credited in Rodriguez's decision.</t>
  </si>
  <si>
    <t>Environmental &amp; regulatory risk</t>
  </si>
  <si>
    <t>Reclamation projects face rising pushback (biodiversity loss, flooding in surrounding areas). The Marcos administration's posture on Build Better More is pro-infrastructure but not immune to ESG pressure. A suspension of either the SMC reclamation or IDC's MPSA would materially hit cash flows. The 1% revenue site-rehab allocation is modest; sensitivity testing with a higher environmental compliance cost is advisable.</t>
  </si>
  <si>
    <t>Execution risks</t>
  </si>
  <si>
    <t>First-user risk on new equipment model → limited resale market (Rodriguez assumes 12% salvage — could be lower if no secondary buyers emerge). Remote island logistics amplify fuel pilferage and hauling-volume misreporting risks. Rodriguez should require real-time telemetry on barges and tight weighbridge controls.</t>
  </si>
  <si>
    <t>Negotiating leverage</t>
  </si>
  <si>
    <t>Given the economics above, the strongest single action Rodriguez can take is to refuse the 2-year term and hold out for 5 years (minimum). CCC and Maximum can afford to walk — SMC needs ~1M tonnes/month of rock armour, Chiquita meets specs, and barge access is an advantage few alternatives share. A fallback: accept 2 years with an SMC-guaranteed price escalator plus a take-or-pay on a 1M-tonne/yr minimum.</t>
  </si>
  <si>
    <t xml:space="preserve">  FINAL RECOMMENDATION</t>
  </si>
  <si>
    <t xml:space="preserve">  IDC CAPITAL BUDGETING — KEY ASSUMPTIONS</t>
  </si>
  <si>
    <t>Value</t>
  </si>
  <si>
    <t>Unit</t>
  </si>
  <si>
    <t>Source / Note</t>
  </si>
  <si>
    <t xml:space="preserve">  MACROECONOMIC</t>
  </si>
  <si>
    <t>Tax rate (corporate)</t>
  </si>
  <si>
    <t>%</t>
  </si>
  <si>
    <t>Philippine CIT; applied to taxable income</t>
  </si>
  <si>
    <t>Inflation Y1–Y5 (escalation factor)</t>
  </si>
  <si>
    <t>Case p.5: BSP forecast 5.40% for 2022 (text-based; Exh.5 numerically uses 6.3%)</t>
  </si>
  <si>
    <t>Inflation Y6–Y10</t>
  </si>
  <si>
    <t>Case page 5; BSP long-run target range</t>
  </si>
  <si>
    <t xml:space="preserve">  REVENUE &amp; OPERATIONS</t>
  </si>
  <si>
    <t>Annual production volume</t>
  </si>
  <si>
    <t>tonnes</t>
  </si>
  <si>
    <t>Case p.5: "close to 3M tonnes annually"</t>
  </si>
  <si>
    <t>Selling price Year 1 (2023)</t>
  </si>
  <si>
    <t>₱/tonne</t>
  </si>
  <si>
    <t>Exh. 5; average of three size grades</t>
  </si>
  <si>
    <t>Subcontractor hauling cost Y1</t>
  </si>
  <si>
    <t>Exh. 4: drill/blast + bulldoze + road + drain + stock + barge</t>
  </si>
  <si>
    <t>Subcontractor loading cost Y1</t>
  </si>
  <si>
    <t>Exh. 4: barge loading</t>
  </si>
  <si>
    <t>Fuel consumption (monthly)</t>
  </si>
  <si>
    <t>litres</t>
  </si>
  <si>
    <t>Case p.5</t>
  </si>
  <si>
    <t>Fuel price Year 1</t>
  </si>
  <si>
    <t>₱/litre</t>
  </si>
  <si>
    <t>Case p.5 / Exh. 5</t>
  </si>
  <si>
    <t>Salaries &amp; wages (monthly)</t>
  </si>
  <si>
    <t>₱</t>
  </si>
  <si>
    <t>100 people, 2 shifts; inflation-escalated</t>
  </si>
  <si>
    <t>Non-fuel monthly opex</t>
  </si>
  <si>
    <t>Case p.5; inflation-escalated</t>
  </si>
  <si>
    <t>National excise tax</t>
  </si>
  <si>
    <t>% of revenue</t>
  </si>
  <si>
    <t>MPSA — Mines &amp; Geosciences Bureau</t>
  </si>
  <si>
    <t>Local government tax</t>
  </si>
  <si>
    <t>Case p.3</t>
  </si>
  <si>
    <t>Site rehabilitation</t>
  </si>
  <si>
    <t>Environmental compliance</t>
  </si>
  <si>
    <t xml:space="preserve">  CAPITAL EXPENDITURE</t>
  </si>
  <si>
    <t>Heavy equipment cost</t>
  </si>
  <si>
    <t>Exh. 3 total</t>
  </si>
  <si>
    <t>Auxiliary equipment &amp; buildings</t>
  </si>
  <si>
    <t>Exh. 3: trucks, gensets, office, mess, accom</t>
  </si>
  <si>
    <t xml:space="preserve">  of which: mess/office/accom (no maintenance)</t>
  </si>
  <si>
    <t>Office 2M + Mess 1M + Accom 1–3 × 1M</t>
  </si>
  <si>
    <t>Causeway / site preparation</t>
  </si>
  <si>
    <t>TOTAL INITIAL CAPEX</t>
  </si>
  <si>
    <t>Equity contribution</t>
  </si>
  <si>
    <t>Heavy equipment salvage (% of acquisition)</t>
  </si>
  <si>
    <t>Case p.5 — scrap/parts value</t>
  </si>
  <si>
    <t>Heavy equipment useful life</t>
  </si>
  <si>
    <t>years</t>
  </si>
  <si>
    <t>Y5 rehabilitation (% of heavy equip cost)</t>
  </si>
  <si>
    <t>Extends life 5 more years; salvage 12% at Y10</t>
  </si>
  <si>
    <t>Auxiliary equipment useful life</t>
  </si>
  <si>
    <t>Case p.5; salvage 0%</t>
  </si>
  <si>
    <t>Causeway useful life</t>
  </si>
  <si>
    <t>Case p.5; salvage 12%</t>
  </si>
  <si>
    <t>Causeway salvage (% of cost)</t>
  </si>
  <si>
    <t>Heavy equipment maintenance</t>
  </si>
  <si>
    <t>% of cost</t>
  </si>
  <si>
    <t>Year 1; inflation-escalated thereafter</t>
  </si>
  <si>
    <t>Auxiliary equipment maintenance</t>
  </si>
  <si>
    <t>Excludes mess/office/accom; inflation-escalated</t>
  </si>
  <si>
    <t xml:space="preserve">  FINANCING</t>
  </si>
  <si>
    <t>Total equity contribution</t>
  </si>
  <si>
    <t>Maximum 49% + CCC 51%</t>
  </si>
  <si>
    <t>Bank loan</t>
  </si>
  <si>
    <t>10-year amortizing</t>
  </si>
  <si>
    <t>Cost of debt (interest rate)</t>
  </si>
  <si>
    <t>Case p.5 / endnote 29</t>
  </si>
  <si>
    <t>Loan term</t>
  </si>
  <si>
    <t>"approximately 10 years"</t>
  </si>
  <si>
    <t xml:space="preserve">  WORKING CAPITAL</t>
  </si>
  <si>
    <t>Operating cash balance</t>
  </si>
  <si>
    <t>Case p.6: fixed level maintained throughout</t>
  </si>
  <si>
    <t>Spare-parts inventory (Year 0)</t>
  </si>
  <si>
    <t>Grows with inflation</t>
  </si>
  <si>
    <t>A/R days</t>
  </si>
  <si>
    <t>days</t>
  </si>
  <si>
    <t>Case p.6: large-corporation terms</t>
  </si>
  <si>
    <t>A/P days</t>
  </si>
  <si>
    <t>On fuel + subcon hauling + subcon loading</t>
  </si>
  <si>
    <t>Days per year (for WC calcs)</t>
  </si>
  <si>
    <t>Standard finance convention</t>
  </si>
  <si>
    <t xml:space="preserve">  WACC INPUTS</t>
  </si>
  <si>
    <t>Risk-free rate (10-yr BVAL)</t>
  </si>
  <si>
    <t>Exh. 8; matches industry norm 10-yr life</t>
  </si>
  <si>
    <t>Equity risk premium (Philippines)</t>
  </si>
  <si>
    <t>Damodaran, January 2022</t>
  </si>
  <si>
    <t xml:space="preserve">  WEIGHTED AVERAGE COST OF CAPITAL</t>
  </si>
  <si>
    <t>Step 1 — Unlever comparable betas</t>
  </si>
  <si>
    <t>Company</t>
  </si>
  <si>
    <t>Levered β</t>
  </si>
  <si>
    <t>D/E</t>
  </si>
  <si>
    <t>Tax rate</t>
  </si>
  <si>
    <t>Unlevered β</t>
  </si>
  <si>
    <t>Notes</t>
  </si>
  <si>
    <t>Semirara Mining and Power</t>
  </si>
  <si>
    <t>Exh. 6</t>
  </si>
  <si>
    <t>Cemex Holdings Philippines</t>
  </si>
  <si>
    <t>Concrete Aggregates Corp.</t>
  </si>
  <si>
    <t>Exh. 6 (closest pure-play)</t>
  </si>
  <si>
    <t>Average unlevered β</t>
  </si>
  <si>
    <t>Step 2 — Relever for IDC capital structure</t>
  </si>
  <si>
    <t>Debt (₱)</t>
  </si>
  <si>
    <t>Equity (₱)</t>
  </si>
  <si>
    <t>D / E</t>
  </si>
  <si>
    <t>D / V</t>
  </si>
  <si>
    <t>E / V</t>
  </si>
  <si>
    <t>Relevered β (Hamada)</t>
  </si>
  <si>
    <t>Step 3 — CAPM and WACC</t>
  </si>
  <si>
    <t>Equity risk premium</t>
  </si>
  <si>
    <t>Cost of equity (Re = Rf + β·ERP)</t>
  </si>
  <si>
    <t>Cost of debt (pre-tax)</t>
  </si>
  <si>
    <t>After-tax cost of debt</t>
  </si>
  <si>
    <t>NOTES ON METHOD</t>
  </si>
  <si>
    <t>•  Hamada: βU = βL / (1 + (1–T)·D/E);   relever: βL* = βU · (1 + (1–T)·D/E*)</t>
  </si>
  <si>
    <t>•  10-year risk-free selected to match industry-norm project life; WACC is applied to unlevered FCF.</t>
  </si>
  <si>
    <t>•  Comparables: coal miner (Semirara), cement/aggregates (Cemex, CAC) — CAC is the closest pure-play.</t>
  </si>
  <si>
    <t xml:space="preserve">  DEPRECIATION SCHEDULE (Straight-line)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</si>
  <si>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</si>
  <si>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</si>
  <si>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</si>
  <si>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</si>
  <si>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</si>
  <si>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</si>
  <si>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</si>
  <si>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</si>
  <si>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</si>
  <si>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</si>
  <si>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</si>
  <si>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HEAVY EQUIPMENT</t>
  </si>
  <si>
    <t>Initial cost</t>
  </si>
  <si>
    <t>Year-5 rehab capex</t>
  </si>
  <si>
    <t>Salvage value (end of life)</t>
  </si>
  <si>
    <t>Annual depreciation</t>
  </si>
  <si>
    <t>Book value (end of year)</t>
  </si>
  <si>
    <t>AUXILIARY EQUIPMENT</t>
  </si>
  <si>
    <t>CAUSEWAY</t>
  </si>
  <si>
    <t>Salvage value</t>
  </si>
  <si>
    <t>TOTAL DEPRECIATION</t>
  </si>
  <si>
    <t>Total NBV (end of year)</t>
  </si>
  <si>
    <t>Heavy NBV (end of year)</t>
  </si>
  <si>
    <t>Aux NBV (end of year)</t>
  </si>
  <si>
    <t>Causeway NBV (end of year)</t>
  </si>
  <si>
    <t xml:space="preserve">  10-YEAR AMORTIZING LOAN (₱102.5M @ 9.1%)</t>
  </si>
  <si>
    <t>Principal</t>
  </si>
  <si>
    <t>Rate</t>
  </si>
  <si>
    <t>Term (yrs)</t>
  </si>
  <si>
    <t>Annual payment (PMT)</t>
  </si>
  <si>
    <t>Year</t>
  </si>
  <si>
    <t>Beg Balance</t>
  </si>
  <si>
    <t>Interest</t>
  </si>
  <si>
    <t>Payment</t>
  </si>
  <si>
    <t>End Balance</t>
  </si>
  <si>
    <t>Total</t>
  </si>
  <si>
    <t xml:space="preserve">  P&amp;L AND UNLEVERED FREE CASH FLOW (₱)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</si>
  <si>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</si>
  <si>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</si>
  <si>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</si>
  <si>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</si>
  <si>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</si>
  <si>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</si>
  <si>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</si>
  <si>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</si>
  <si>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</si>
  <si>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</si>
  <si>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</si>
  <si>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Inflation factor (cumulative, Y1=1)</t>
  </si>
  <si>
    <t>REVENUE</t>
  </si>
  <si>
    <t>Volume (tonnes)</t>
  </si>
  <si>
    <t>Price (₱/tonne)</t>
  </si>
  <si>
    <t>Revenue</t>
  </si>
  <si>
    <t>OPERATING COSTS</t>
  </si>
  <si>
    <t>Subcontractor hauling rate (₱/t)</t>
  </si>
  <si>
    <t>Subcontractor hauling</t>
  </si>
  <si>
    <t>Subcontractor loading rate (₱/t)</t>
  </si>
  <si>
    <t>Subcontractor loading</t>
  </si>
  <si>
    <t>Fuel price (₱/litre)</t>
  </si>
  <si>
    <t>Fuel expense</t>
  </si>
  <si>
    <t>Salaries &amp; wages</t>
  </si>
  <si>
    <t>Other non-fuel expenses</t>
  </si>
  <si>
    <t>Causeway maintenance</t>
  </si>
  <si>
    <t>Site rehabilitation (1% of revenue)</t>
  </si>
  <si>
    <t>National excise tax (4% of revenue)</t>
  </si>
  <si>
    <t>Local government tax (1% of revenue)</t>
  </si>
  <si>
    <t>Total operating costs</t>
  </si>
  <si>
    <t>EBITDA</t>
  </si>
  <si>
    <t>EBIT</t>
  </si>
  <si>
    <t>Tax on EBIT (25%)</t>
  </si>
  <si>
    <t>NOPAT = EBIT × (1–T)</t>
  </si>
  <si>
    <t>UNLEVERED FREE CASH FLOW BUILD</t>
  </si>
  <si>
    <t>NOPAT</t>
  </si>
  <si>
    <t>(+) Depreciation</t>
  </si>
  <si>
    <t>(–) Capex</t>
  </si>
  <si>
    <t>(–) Change in NWC</t>
  </si>
  <si>
    <t>(+) Terminal proceeds (Y10 base case)</t>
  </si>
  <si>
    <t>(+) Recovery of NWC (Y10)</t>
  </si>
  <si>
    <t>UNLEVERED FCF</t>
  </si>
  <si>
    <t>Cumulative FCF</t>
  </si>
  <si>
    <t>Discount factor @ WACC</t>
  </si>
  <si>
    <t>PV of FCF</t>
  </si>
  <si>
    <t xml:space="preserve">  WORKING CAPITAL SCHEDULE (₱)</t>
  </si>
  <si>
    <t>Operating cash</t>
  </si>
  <si>
    <t>Spare-parts inventory</t>
  </si>
  <si>
    <t>Accounts receivable (60 days)</t>
  </si>
  <si>
    <t>Accounts payable (30 days)</t>
  </si>
  <si>
    <t>Net Working Capital</t>
  </si>
  <si>
    <t>Δ NWC (investment)</t>
  </si>
  <si>
    <t xml:space="preserve">  SCENARIO ANALYSIS — NPV, IRR &amp; PAYBACK</t>
  </si>
  <si>
    <t>Project life</t>
  </si>
  <si>
    <t>2-Year Contract</t>
  </si>
  <si>
    <t>5-Year Contract</t>
  </si>
  <si>
    <t>10-Year Contract</t>
  </si>
  <si>
    <t>Years</t>
  </si>
  <si>
    <t xml:space="preserve">  TERMINAL VALUE CALCULATIONS</t>
  </si>
  <si>
    <t>Salvage value — Heavy (12% of cost)</t>
  </si>
  <si>
    <t>Book value — Heavy (from Dep sheet)</t>
  </si>
  <si>
    <t>Gain (loss) on Heavy sale</t>
  </si>
  <si>
    <t>Tax on gain (shield on loss)</t>
  </si>
  <si>
    <t>After-tax proceeds — Heavy</t>
  </si>
  <si>
    <t>Aux sold at book value (no tax)</t>
  </si>
  <si>
    <t>Causeway sold at book value (no tax)</t>
  </si>
  <si>
    <t>NWC recovery (end-year balance)</t>
  </si>
  <si>
    <t>Total terminal cash flow</t>
  </si>
  <si>
    <t xml:space="preserve">  NPV, IRR, PAYBACK</t>
  </si>
  <si>
    <t>WACC used</t>
  </si>
  <si>
    <t>Payback period (yrs)</t>
  </si>
  <si>
    <t>FCF Series (constructed for each scenario)</t>
  </si>
  <si>
    <t>2-Yr FCF</t>
  </si>
  <si>
    <t>5-Yr FCF</t>
  </si>
  <si>
    <t>10-Yr FCF</t>
  </si>
  <si>
    <t>2-Yr cumulative FCF</t>
  </si>
  <si>
    <t>5-Yr cumulative FCF</t>
  </si>
  <si>
    <t>10-Yr cumulative FCF</t>
  </si>
  <si>
    <t>Decision rules (per CFO Lascano):</t>
  </si>
  <si>
    <t>•  Accept if NPV &gt; 0 AND IRR &gt; WACC  →  economic value created</t>
  </si>
  <si>
    <t>•  Rodriguez also wants payback &lt; 2 years  →  tighter recovery threshold</t>
  </si>
  <si>
    <t xml:space="preserve">  SENSITIVITY ANALYSIS — 5-Year NPV (₱M) vs. Selling Price &amp; WACC</t>
  </si>
  <si>
    <t>Selling price Y1 (₱/t)</t>
  </si>
  <si>
    <t>% vs. base</t>
  </si>
  <si>
    <t>Approx. ΔRevenue p.a. (₱M)</t>
  </si>
  <si>
    <t>Approx. ΔNPV (₱M)*</t>
  </si>
  <si>
    <t>5-yr NPV (₱M)*</t>
  </si>
  <si>
    <t>* Linear approximation around base case: ΔNPV ≈ ΔRevenue × (1 – tax – excise – local) × 5-yr annuity factor at WACC. Excludes the second-order effects of inflation, NWC re-sizing, and terminal value adjustments. For exact figures, edit Assumptions!B8 directly.</t>
  </si>
  <si>
    <t>SOURCES, NOTES &amp; MODELING DECISIONS</t>
  </si>
  <si>
    <t>Section</t>
  </si>
  <si>
    <t>CASE FACTS — All from Ivey W38382</t>
  </si>
  <si>
    <t>Rock armour selling price</t>
  </si>
  <si>
    <t>Page 5: ₱550/tonne Year 1 average (size grades range −9% to +5%)</t>
  </si>
  <si>
    <t>Production volume</t>
  </si>
  <si>
    <t>Page 5: "close to 3 million tonnes annually"</t>
  </si>
  <si>
    <t>Subcon hauling rate</t>
  </si>
  <si>
    <t>Exhibit 4: ₱250/t (drill+blast 100, bulldozing 35, road 35, drainage 10, stockpile 10, barge haul 60)</t>
  </si>
  <si>
    <t>Subcon loading rate</t>
  </si>
  <si>
    <t>Exhibit 4: ₱30/t for barge loading</t>
  </si>
  <si>
    <t>Fuel consumption</t>
  </si>
  <si>
    <t>Page 5: 641,842 litres/month at ₱55.70/litre Year 1</t>
  </si>
  <si>
    <t>Wages</t>
  </si>
  <si>
    <t>Page 5: 100 people, two 8-hour shifts, ₱2.5M/month total</t>
  </si>
  <si>
    <t>Other non-fuel monthly opex</t>
  </si>
  <si>
    <t>Page 5: ₱1.5M/month</t>
  </si>
  <si>
    <t>Page 5: 5% of acquisition cost p.a., inflation-escalated</t>
  </si>
  <si>
    <t>Aux equipment maintenance</t>
  </si>
  <si>
    <t>Page 5: 2% of cost (excluding mess/office/accom which sum to ₱6M)</t>
  </si>
  <si>
    <t>Page 5: ½ of causeway depreciation</t>
  </si>
  <si>
    <t>Excise tax</t>
  </si>
  <si>
    <t>Page 3: 4% of revenue paid to national government (MPSA)</t>
  </si>
  <si>
    <t>Page 3: 1% of revenue</t>
  </si>
  <si>
    <t>Page 5: 1% of revenue</t>
  </si>
  <si>
    <t>Salvage values</t>
  </si>
  <si>
    <t>Page 5: Heavy equipment 12%, causeway 12%, auxiliary 0%</t>
  </si>
  <si>
    <t>Heavy equipment Y5 rehab</t>
  </si>
  <si>
    <t>Page 5: 40% of cost extends life by 5 more years to Y10</t>
  </si>
  <si>
    <t>Working capital</t>
  </si>
  <si>
    <t>Page 6: ₱100M cash, ₱2.5M inventory, 60-day A/R, 30-day A/P (on fuel + subcon)</t>
  </si>
  <si>
    <t>Capital structure</t>
  </si>
  <si>
    <t>Page 5: ₱479M equity (49% Maximum / 51% CCC), ₱102.5M bank loan @ 9.1% × ~10 years</t>
  </si>
  <si>
    <t>Comparable companies</t>
  </si>
  <si>
    <t>Exhibit 6: Semirara (β=1.36, D/E=7.5%), Cemex (β=0.82, D/E=0.1%), CAC (β=0.37, D/E=1.9%)</t>
  </si>
  <si>
    <t>Risk-free rate</t>
  </si>
  <si>
    <t>Exhibit 8: 10-year BVAL = 6.1146% (matches industry-norm project life)</t>
  </si>
  <si>
    <t>Endnote 37: Damodaran Philippines ERP, January 2022 = 6.12%</t>
  </si>
  <si>
    <t>Corporate tax</t>
  </si>
  <si>
    <t>Endnote 38: Philippine CIT = 25%</t>
  </si>
  <si>
    <t>MODELING DECISIONS</t>
  </si>
  <si>
    <t>Inflation rate</t>
  </si>
  <si>
    <t>Page 5 text says 5.40% (BSP forecast 2022). Exhibit 5 numerically uses 6.30% (Aug 2022 actual headline). Model uses 5.40% per text; Exhibit 5 numbers can be reproduced by setting Assumptions!B5 to 6.30%.</t>
  </si>
  <si>
    <t>Tax shield method</t>
  </si>
  <si>
    <t>WACC built on after-tax cost of debt. Tax applied to EBIT (no interest tax shield in unlevered FCF — captured in WACC).</t>
  </si>
  <si>
    <t>Risk-free rate tenor</t>
  </si>
  <si>
    <t>Selected 10-year BVAL to match industry-norm 10-year quarry life rather than 5-year contract horizon. This is the conservative choice; using 5-yr (5.57%) would lower WACC by ~50 bps and raise all NPVs.</t>
  </si>
  <si>
    <t>Year-5 rehab treatment</t>
  </si>
  <si>
    <t>Capitalized as new capex at end of Y5; depreciated over Y6–Y10 to a 12% Y10 salvage. For the 5-year scenario, we assume the project terminates at Y5 and rehab is NOT incurred (asset sold at heavy-equipment salvage instead).</t>
  </si>
  <si>
    <t>Terminal value tax</t>
  </si>
  <si>
    <t>Sale price minus book value gives gain/loss; gain taxed at 25%, loss creates a tax shield. Aux and causeway are sold at book in 2- and 5-yr scenarios (no gain/loss).</t>
  </si>
  <si>
    <t>Working capital recovery</t>
  </si>
  <si>
    <t>Full ending NWC balance (cash + inventory + AR – AP) is recovered as cash at the end of the project life in each scenario.</t>
  </si>
  <si>
    <t>NWC at Y0</t>
  </si>
  <si>
    <t>Assumed equal to ₱102.5M (cash 100M + inventory 2.5M); funded by the bank loan. Working capital build for AR happens at Y1 onward as revenue starts.</t>
  </si>
  <si>
    <t>Discounting convention</t>
  </si>
  <si>
    <t>Discrete annual discounting; project cash flows treated as end-of-year. Year 0 capex undiscounted.</t>
  </si>
  <si>
    <t>IRR / payback</t>
  </si>
  <si>
    <t>IRR computed on the FCF series of each scenario. Payback uses cumulative undiscounted FCF, interpolated linearly across the year of recovery.</t>
  </si>
  <si>
    <t>LIMITATIONS</t>
  </si>
  <si>
    <t>No price/volume size mix</t>
  </si>
  <si>
    <t>The 3-grade size mix (300kg–1t / 1–3t / 3–6t) is collapsed into a single average price per Rodriguez's simplifying assumption.</t>
  </si>
  <si>
    <t>No FX hedging</t>
  </si>
  <si>
    <t>All cash flows in PHP. SMC contract is in PHP, so no direct FX exposure modeled.</t>
  </si>
  <si>
    <t>No counterparty risk modeling</t>
  </si>
  <si>
    <t>SMC is treated as a creditworthy counterparty. In reality, large infrastructure projects can experience payment delays.</t>
  </si>
  <si>
    <t>No tax loss carryforwards</t>
  </si>
  <si>
    <t>Loss-carryforward benefit on the Y1 EBIT (small) is ignored; tax floor of zero applied.</t>
  </si>
  <si>
    <t>No real options</t>
  </si>
  <si>
    <t>The option to extend beyond Y10 (under the 25-year MPSA) and the option to abandon mid-project are not valued.</t>
  </si>
  <si>
    <t>1) Proceed with the 49% equity investment (₱234.7M of Maximum's cash) IF SMC commits to a 5-year minimum.
2) If SMC insists on 2 years, walk away — the math does not support it, even with the equipment-sales option.
3) Negotiate a price-escalation clause tied to inflation (already assumed at 5.4% Y1–5, 3.0% Y6–10) and a take-or-pay volume floor.
4) Plan for the Y5 rehab (₱152.4M) from retained earnings, not new debt — annual FCF comfortably supports it.
5) Commission an independent ESG impact study on Chiquita Island to pre-empt regulatory disruption.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</si>
</sst>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,,;\(#,##0,,\);\-"/>
    <numFmt numFmtId="165" formatCode="0.0%;\(0.0%\);\-"/>
    <numFmt numFmtId="166" formatCode="#,##0;\(#,##0\);\-"/>
    <numFmt numFmtId="167" formatCode="0.0%"/>
    <numFmt numFmtId="168" formatCode="0.00%;\(0.00%\);\-"/>
    <numFmt numFmtId="169" formatCode="0.0000"/>
    <numFmt numFmtId="170" formatCode="_ * #,##0_ ;_ * \-#,##0_ ;_ * &quot;-&quot;??_ ;_ @_ "/>
  </numFmts>
  <fonts count="3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0"/>
      <color rgb="FF1F4E78"/>
      <name val="Arial"/>
      <family val="2"/>
    </font>
    <font>
      <b/>
      <i/>
      <sz val="12"/>
      <color rgb="FF1F4E78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1F4E78"/>
      <name val="Arial"/>
      <family val="2"/>
    </font>
    <font>
      <sz val="9"/>
      <color rgb="FF000000"/>
      <name val="Arial"/>
      <family val="2"/>
    </font>
    <font>
      <b/>
      <sz val="10"/>
      <color rgb="FF0000FF"/>
      <name val="Arial"/>
      <family val="2"/>
    </font>
    <font>
      <i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6"/>
      <color rgb="FF1F4E78"/>
      <name val="Arial"/>
      <family val="2"/>
    </font>
    <font>
      <i/>
      <sz val="9"/>
      <color rgb="FF000000"/>
      <name val="Arial"/>
      <family val="2"/>
    </font>
    <font>
      <sz val="10"/>
      <color rgb="FF0000FF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0"/>
      <color rgb="FF595959"/>
      <name val="Arial"/>
      <family val="2"/>
    </font>
    <font>
      <i/>
      <sz val="9"/>
      <color rgb="FF595959"/>
      <name val="Arial"/>
      <family val="2"/>
    </font>
    <font>
      <i/>
      <sz val="9"/>
      <color rgb="FF008000"/>
      <name val="Arial"/>
      <family val="2"/>
    </font>
    <font>
      <i/>
      <sz val="10"/>
      <color rgb="FF008000"/>
      <name val="Arial"/>
      <family val="2"/>
    </font>
    <font>
      <b/>
      <sz val="9"/>
      <color rgb="FF000000"/>
      <name val="Arial"/>
      <family val="2"/>
    </font>
    <font>
      <i/>
      <sz val="10"/>
      <color rgb="FFC0C0C0"/>
      <name val="Arial"/>
      <family val="2"/>
    </font>
    <font>
      <b/>
      <sz val="9"/>
      <color rgb="FFFFFFFF"/>
      <name val="Arial"/>
      <family val="2"/>
    </font>
    <font>
      <sz val="11"/>
      <color theme="1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1F4E7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C7E7"/>
        <bgColor rgb="FFC0C0C0"/>
      </patternFill>
    </fill>
    <fill>
      <patternFill patternType="solid">
        <fgColor rgb="FFD9E1F2"/>
        <bgColor rgb="FFD0D0D0"/>
      </patternFill>
    </fill>
    <fill>
      <patternFill patternType="solid">
        <fgColor rgb="FFFFC7CE"/>
        <bgColor rgb="FFD0D0D0"/>
      </patternFill>
    </fill>
    <fill>
      <patternFill patternType="solid">
        <fgColor rgb="FFC6EFCE"/>
        <bgColor rgb="FFD9E1F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133">
    <xf numFmtId="0" fontId="0" fillId="0" borderId="0" xfId="0"/>
    <xf numFmtId="0" fontId="5" fillId="2" borderId="0" xfId="0" applyFont="1" applyFill="1"/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164" fontId="8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0" xfId="0" applyFont="1"/>
    <xf numFmtId="0" fontId="11" fillId="0" borderId="0" xfId="0" applyFont="1"/>
    <xf numFmtId="0" fontId="13" fillId="0" borderId="0" xfId="0" applyFont="1"/>
    <xf numFmtId="0" fontId="6" fillId="5" borderId="0" xfId="0" applyFont="1" applyFill="1"/>
    <xf numFmtId="0" fontId="6" fillId="6" borderId="0" xfId="0" applyFont="1" applyFill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6" fillId="7" borderId="0" xfId="0" applyFont="1" applyFill="1"/>
    <xf numFmtId="0" fontId="6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65" fontId="16" fillId="0" borderId="0" xfId="0" applyNumberFormat="1" applyFont="1"/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68" fontId="16" fillId="0" borderId="0" xfId="0" applyNumberFormat="1" applyFont="1"/>
    <xf numFmtId="3" fontId="16" fillId="5" borderId="0" xfId="0" applyNumberFormat="1" applyFont="1" applyFill="1"/>
    <xf numFmtId="4" fontId="16" fillId="0" borderId="0" xfId="0" applyNumberFormat="1" applyFont="1"/>
    <xf numFmtId="3" fontId="16" fillId="0" borderId="0" xfId="0" applyNumberFormat="1" applyFont="1"/>
    <xf numFmtId="0" fontId="6" fillId="7" borderId="0" xfId="0" applyFont="1" applyFill="1" applyAlignment="1">
      <alignment horizontal="left" vertical="center"/>
    </xf>
    <xf numFmtId="3" fontId="6" fillId="7" borderId="3" xfId="0" applyNumberFormat="1" applyFont="1" applyFill="1" applyBorder="1"/>
    <xf numFmtId="0" fontId="7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/>
    </xf>
    <xf numFmtId="1" fontId="16" fillId="0" borderId="0" xfId="0" applyNumberFormat="1" applyFont="1"/>
    <xf numFmtId="168" fontId="16" fillId="5" borderId="0" xfId="0" applyNumberFormat="1" applyFont="1" applyFill="1"/>
    <xf numFmtId="0" fontId="6" fillId="6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2" fontId="16" fillId="0" borderId="4" xfId="0" applyNumberFormat="1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9" fontId="7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168" fontId="16" fillId="0" borderId="4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left" vertical="center"/>
    </xf>
    <xf numFmtId="169" fontId="6" fillId="7" borderId="4" xfId="0" applyNumberFormat="1" applyFont="1" applyFill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69" fontId="6" fillId="7" borderId="0" xfId="0" applyNumberFormat="1" applyFont="1" applyFill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68" fontId="6" fillId="7" borderId="0" xfId="0" applyNumberFormat="1" applyFont="1" applyFill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8" fillId="5" borderId="0" xfId="0" applyFont="1" applyFill="1" applyAlignment="1">
      <alignment horizontal="left" vertical="center"/>
    </xf>
    <xf numFmtId="168" fontId="18" fillId="5" borderId="3" xfId="0" applyNumberFormat="1" applyFont="1" applyFill="1" applyBorder="1" applyAlignment="1">
      <alignment horizontal="center" vertical="center"/>
    </xf>
    <xf numFmtId="0" fontId="19" fillId="0" borderId="0" xfId="0" applyFont="1"/>
    <xf numFmtId="1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3" fontId="8" fillId="0" borderId="0" xfId="0" applyNumberFormat="1" applyFont="1"/>
    <xf numFmtId="3" fontId="7" fillId="0" borderId="0" xfId="0" applyNumberFormat="1" applyFont="1"/>
    <xf numFmtId="0" fontId="6" fillId="7" borderId="3" xfId="0" applyFont="1" applyFill="1" applyBorder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3" fontId="12" fillId="7" borderId="0" xfId="0" applyNumberFormat="1" applyFont="1" applyFill="1"/>
    <xf numFmtId="3" fontId="20" fillId="0" borderId="0" xfId="0" applyNumberFormat="1" applyFont="1"/>
    <xf numFmtId="168" fontId="8" fillId="0" borderId="0" xfId="0" applyNumberFormat="1" applyFont="1"/>
    <xf numFmtId="1" fontId="8" fillId="0" borderId="0" xfId="0" applyNumberFormat="1" applyFont="1"/>
    <xf numFmtId="3" fontId="6" fillId="7" borderId="0" xfId="0" applyNumberFormat="1" applyFont="1" applyFill="1"/>
    <xf numFmtId="0" fontId="7" fillId="0" borderId="4" xfId="0" applyFont="1" applyBorder="1" applyAlignment="1">
      <alignment horizontal="center" vertical="center"/>
    </xf>
    <xf numFmtId="3" fontId="7" fillId="0" borderId="4" xfId="0" applyNumberFormat="1" applyFont="1" applyBorder="1"/>
    <xf numFmtId="0" fontId="6" fillId="7" borderId="3" xfId="0" applyFont="1" applyFill="1" applyBorder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169" fontId="4" fillId="0" borderId="0" xfId="0" applyNumberFormat="1" applyFont="1"/>
    <xf numFmtId="2" fontId="8" fillId="0" borderId="0" xfId="0" applyNumberFormat="1" applyFont="1"/>
    <xf numFmtId="2" fontId="7" fillId="0" borderId="0" xfId="0" applyNumberFormat="1" applyFont="1"/>
    <xf numFmtId="0" fontId="6" fillId="0" borderId="5" xfId="0" applyFont="1" applyBorder="1" applyAlignment="1">
      <alignment horizontal="left" vertical="center"/>
    </xf>
    <xf numFmtId="3" fontId="6" fillId="0" borderId="5" xfId="0" applyNumberFormat="1" applyFont="1" applyBorder="1"/>
    <xf numFmtId="2" fontId="21" fillId="0" borderId="0" xfId="0" applyNumberFormat="1" applyFont="1"/>
    <xf numFmtId="2" fontId="15" fillId="0" borderId="0" xfId="0" applyNumberFormat="1" applyFont="1"/>
    <xf numFmtId="3" fontId="22" fillId="0" borderId="0" xfId="0" applyNumberFormat="1" applyFont="1"/>
    <xf numFmtId="3" fontId="12" fillId="0" borderId="0" xfId="0" applyNumberFormat="1" applyFont="1"/>
    <xf numFmtId="0" fontId="6" fillId="0" borderId="3" xfId="0" applyFont="1" applyBorder="1" applyAlignment="1">
      <alignment horizontal="left" vertical="center"/>
    </xf>
    <xf numFmtId="3" fontId="6" fillId="0" borderId="3" xfId="0" applyNumberFormat="1" applyFont="1" applyBorder="1"/>
    <xf numFmtId="0" fontId="6" fillId="5" borderId="3" xfId="0" applyFont="1" applyFill="1" applyBorder="1" applyAlignment="1">
      <alignment horizontal="left" vertical="center"/>
    </xf>
    <xf numFmtId="3" fontId="6" fillId="5" borderId="3" xfId="0" applyNumberFormat="1" applyFont="1" applyFill="1" applyBorder="1"/>
    <xf numFmtId="3" fontId="4" fillId="0" borderId="0" xfId="0" applyNumberFormat="1" applyFont="1"/>
    <xf numFmtId="0" fontId="6" fillId="7" borderId="5" xfId="0" applyFont="1" applyFill="1" applyBorder="1" applyAlignment="1">
      <alignment horizontal="left" vertical="center"/>
    </xf>
    <xf numFmtId="3" fontId="6" fillId="7" borderId="5" xfId="0" applyNumberFormat="1" applyFont="1" applyFill="1" applyBorder="1"/>
    <xf numFmtId="0" fontId="6" fillId="5" borderId="0" xfId="0" applyFont="1" applyFill="1" applyAlignment="1">
      <alignment horizontal="left" vertical="center"/>
    </xf>
    <xf numFmtId="3" fontId="6" fillId="5" borderId="0" xfId="0" applyNumberFormat="1" applyFont="1" applyFill="1"/>
    <xf numFmtId="0" fontId="6" fillId="0" borderId="0" xfId="0" applyFont="1" applyAlignment="1">
      <alignment horizontal="center" vertical="center"/>
    </xf>
    <xf numFmtId="3" fontId="6" fillId="0" borderId="0" xfId="0" applyNumberFormat="1" applyFont="1"/>
    <xf numFmtId="164" fontId="6" fillId="5" borderId="0" xfId="0" applyNumberFormat="1" applyFont="1" applyFill="1"/>
    <xf numFmtId="168" fontId="6" fillId="5" borderId="0" xfId="0" applyNumberFormat="1" applyFont="1" applyFill="1" applyAlignment="1">
      <alignment horizontal="center" vertical="center"/>
    </xf>
    <xf numFmtId="2" fontId="6" fillId="5" borderId="0" xfId="0" applyNumberFormat="1" applyFont="1" applyFill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 vertical="center"/>
    </xf>
    <xf numFmtId="3" fontId="24" fillId="0" borderId="0" xfId="0" applyNumberFormat="1" applyFont="1"/>
    <xf numFmtId="0" fontId="25" fillId="3" borderId="6" xfId="0" applyFont="1" applyFill="1" applyBorder="1" applyAlignment="1">
      <alignment horizontal="center" vertical="center" wrapText="1"/>
    </xf>
    <xf numFmtId="4" fontId="7" fillId="0" borderId="4" xfId="0" applyNumberFormat="1" applyFont="1" applyBorder="1" applyAlignment="1">
      <alignment horizontal="center"/>
    </xf>
    <xf numFmtId="165" fontId="26" fillId="0" borderId="4" xfId="0" applyNumberFormat="1" applyFont="1" applyBorder="1" applyAlignment="1">
      <alignment horizontal="center"/>
    </xf>
    <xf numFmtId="166" fontId="26" fillId="0" borderId="4" xfId="0" applyNumberFormat="1" applyFont="1" applyBorder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4" fontId="11" fillId="0" borderId="4" xfId="0" applyNumberFormat="1" applyFont="1" applyBorder="1" applyAlignment="1">
      <alignment horizontal="center"/>
    </xf>
    <xf numFmtId="0" fontId="28" fillId="3" borderId="7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170" fontId="1" fillId="0" borderId="0" xfId="1" applyNumberFormat="1"/>
    <xf numFmtId="0" fontId="5" fillId="2" borderId="0" xfId="0" applyFont="1" applyFill="1" applyAlignment="1">
      <alignment horizontal="left" vertical="center" wrapText="1"/>
    </xf>
    <xf numFmtId="3" fontId="0" fillId="0" borderId="0" xfId="0" applyNumberFormat="1"/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top" wrapText="1"/>
    </xf>
    <xf numFmtId="0" fontId="5" fillId="2" borderId="0" xfId="0" applyFont="1" applyFill="1"/>
    <xf numFmtId="0" fontId="7" fillId="5" borderId="0" xfId="0" applyFont="1" applyFill="1" applyAlignment="1">
      <alignment horizontal="left" vertical="top" wrapText="1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center"/>
    </xf>
    <xf numFmtId="0" fontId="17" fillId="6" borderId="0" xfId="0" applyFont="1" applyFill="1"/>
    <xf numFmtId="0" fontId="5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top" wrapText="1"/>
    </xf>
    <xf numFmtId="0" fontId="27" fillId="2" borderId="0" xfId="0" applyFont="1" applyFill="1" applyAlignment="1">
      <alignment horizontal="center" vertical="center"/>
    </xf>
    <xf numFmtId="0" fontId="29" fillId="7" borderId="7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8"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B0B0B0"/>
      <rgbColor rgb="FF993366"/>
      <rgbColor rgb="FFF2F2F2"/>
      <rgbColor rgb="FFD9E1F2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D0D0D0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C65911"/>
      <rgbColor rgb="FF595959"/>
      <rgbColor rgb="FF7F7F7F"/>
      <rgbColor rgb="FF003366"/>
      <rgbColor rgb="FF339966"/>
      <rgbColor rgb="FF0061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F32"/>
  <sheetViews>
    <sheetView showGridLines="0" tabSelected="1" zoomScaleNormal="100" workbookViewId="0">
      <selection sqref="A1:F1"/>
    </sheetView>
  </sheetViews>
  <sheetFormatPr defaultColWidth="8.6328125" defaultRowHeight="14.5" x14ac:dyDescent="0.35"/>
  <cols>
    <col min="1" max="1" width="32" customWidth="1"/>
    <col min="2" max="6" width="24" customWidth="1"/>
  </cols>
  <sheetData>
    <row r="1" spans="1:6" ht="36" customHeight="1" x14ac:dyDescent="0.35">
      <c r="A1" s="115" t="s">
        <v>0</v>
      </c>
      <c r="B1" s="115"/>
      <c r="C1" s="115"/>
      <c r="D1" s="115"/>
      <c r="E1" s="115"/>
      <c r="F1" s="115"/>
    </row>
    <row r="2" spans="1:6" ht="18" customHeight="1" x14ac:dyDescent="0.35">
      <c r="A2" s="116" t="s">
        <v>1</v>
      </c>
      <c r="B2" s="116"/>
      <c r="C2" s="116"/>
      <c r="D2" s="116"/>
      <c r="E2" s="116"/>
      <c r="F2" s="116"/>
    </row>
    <row r="3" spans="1:6" ht="15" customHeight="1" x14ac:dyDescent="0.35">
      <c r="A3" s="117" t="s">
        <v>2</v>
      </c>
      <c r="B3" s="117"/>
      <c r="C3" s="117"/>
      <c r="D3" s="117"/>
      <c r="E3" s="117"/>
      <c r="F3" s="117"/>
    </row>
    <row r="5" spans="1:6" ht="15" customHeight="1" x14ac:dyDescent="0.35">
      <c r="A5" s="4" t="s">
        <v>3</v>
      </c>
      <c r="B5" s="1"/>
      <c r="C5" s="1"/>
      <c r="D5" s="1"/>
      <c r="E5" s="1"/>
      <c r="F5" s="1"/>
    </row>
    <row r="6" spans="1:6" ht="15" customHeight="1" x14ac:dyDescent="0.35">
      <c r="A6" s="5" t="s">
        <v>4</v>
      </c>
      <c r="B6" s="118" t="s">
        <v>5</v>
      </c>
      <c r="C6" s="118"/>
      <c r="D6" s="118"/>
      <c r="E6" s="118"/>
      <c r="F6" s="118"/>
    </row>
    <row r="7" spans="1:6" ht="15" customHeight="1" x14ac:dyDescent="0.35">
      <c r="A7" s="5" t="s">
        <v>6</v>
      </c>
      <c r="B7" s="3" t="s">
        <v>7</v>
      </c>
      <c r="C7" s="6" t="s">
        <v>8</v>
      </c>
    </row>
    <row r="8" spans="1:6" ht="15" customHeight="1" x14ac:dyDescent="0.35">
      <c r="A8" s="5" t="s">
        <v>9</v>
      </c>
      <c r="B8" s="3" t="s">
        <v>10</v>
      </c>
    </row>
    <row r="9" spans="1:6" ht="15" customHeight="1" x14ac:dyDescent="0.35">
      <c r="A9" s="5" t="s">
        <v>11</v>
      </c>
      <c r="B9" s="3" t="s">
        <v>12</v>
      </c>
    </row>
    <row r="10" spans="1:6" ht="15" customHeight="1" x14ac:dyDescent="0.35">
      <c r="A10" s="5" t="s">
        <v>13</v>
      </c>
      <c r="B10" s="3" t="s">
        <v>14</v>
      </c>
    </row>
    <row r="12" spans="1:6" ht="15" customHeight="1" x14ac:dyDescent="0.35">
      <c r="A12" s="4" t="s">
        <v>15</v>
      </c>
      <c r="B12" s="1"/>
      <c r="C12" s="1"/>
      <c r="D12" s="1"/>
      <c r="E12" s="1"/>
      <c r="F12" s="1"/>
    </row>
    <row r="13" spans="1:6" ht="15" customHeight="1" x14ac:dyDescent="0.35">
      <c r="A13" s="5"/>
      <c r="B13" s="7" t="s">
        <v>16</v>
      </c>
      <c r="C13" s="7" t="s">
        <v>17</v>
      </c>
      <c r="D13" s="7" t="s">
        <v>18</v>
      </c>
    </row>
    <row r="14" spans="1:6" ht="15" customHeight="1" x14ac:dyDescent="0.35">
      <c r="A14" s="8" t="s">
        <v>19</v>
      </c>
      <c r="B14" s="9">
        <f>Scenarios!B19</f>
        <v>-59609070.156254113</v>
      </c>
      <c r="C14" s="9">
        <f>Scenarios!C19</f>
        <v>197843160.79850686</v>
      </c>
      <c r="D14" s="9">
        <f>Scenarios!D19</f>
        <v>484328953.759866</v>
      </c>
    </row>
    <row r="15" spans="1:6" ht="15" customHeight="1" x14ac:dyDescent="0.35">
      <c r="A15" s="8" t="s">
        <v>20</v>
      </c>
      <c r="B15" s="10">
        <f>Scenarios!B20</f>
        <v>5.1723840904077445E-2</v>
      </c>
      <c r="C15" s="10">
        <f>Scenarios!C20</f>
        <v>0.19867797908696994</v>
      </c>
      <c r="D15" s="10">
        <f>Scenarios!D20</f>
        <v>0.23547073130852603</v>
      </c>
    </row>
    <row r="16" spans="1:6" ht="15" customHeight="1" x14ac:dyDescent="0.35">
      <c r="A16" s="8" t="s">
        <v>21</v>
      </c>
      <c r="B16" s="11">
        <f>Scenarios!B21</f>
        <v>1.9033910952894577</v>
      </c>
      <c r="C16" s="11">
        <f>Scenarios!C21</f>
        <v>4.0233834516589182</v>
      </c>
      <c r="D16" s="11">
        <f>Scenarios!D21</f>
        <v>4.274671566674817</v>
      </c>
    </row>
    <row r="17" spans="1:6" ht="31.5" customHeight="1" x14ac:dyDescent="0.35">
      <c r="A17" s="8" t="s">
        <v>22</v>
      </c>
      <c r="B17" s="12" t="str">
        <f>Scenarios!B22</f>
        <v>REJECT</v>
      </c>
      <c r="C17" s="12" t="str">
        <f>Scenarios!C22</f>
        <v>MEETS NPV/IRR (payback fails)</v>
      </c>
      <c r="D17" s="12" t="str">
        <f>Scenarios!D22</f>
        <v>MEETS NPV/IRR (payback fails)</v>
      </c>
    </row>
    <row r="19" spans="1:6" ht="15" customHeight="1" x14ac:dyDescent="0.35">
      <c r="A19" s="4" t="s">
        <v>23</v>
      </c>
      <c r="B19" s="1"/>
      <c r="C19" s="1"/>
      <c r="D19" s="1"/>
      <c r="E19" s="1"/>
      <c r="F19" s="1"/>
    </row>
    <row r="20" spans="1:6" ht="15" customHeight="1" x14ac:dyDescent="0.35">
      <c r="A20" s="13" t="s">
        <v>24</v>
      </c>
      <c r="B20" s="113" t="s">
        <v>25</v>
      </c>
      <c r="C20" s="113"/>
      <c r="D20" s="113"/>
      <c r="E20" s="113"/>
      <c r="F20" s="113"/>
    </row>
    <row r="21" spans="1:6" ht="15" customHeight="1" x14ac:dyDescent="0.35">
      <c r="A21" s="13" t="s">
        <v>26</v>
      </c>
      <c r="B21" s="113" t="s">
        <v>27</v>
      </c>
      <c r="C21" s="113"/>
      <c r="D21" s="113"/>
      <c r="E21" s="113"/>
      <c r="F21" s="113"/>
    </row>
    <row r="22" spans="1:6" ht="15" customHeight="1" x14ac:dyDescent="0.35">
      <c r="A22" s="13" t="s">
        <v>28</v>
      </c>
      <c r="B22" s="113" t="s">
        <v>29</v>
      </c>
      <c r="C22" s="113"/>
      <c r="D22" s="113"/>
      <c r="E22" s="113"/>
      <c r="F22" s="113"/>
    </row>
    <row r="23" spans="1:6" ht="15" customHeight="1" x14ac:dyDescent="0.35">
      <c r="A23" s="13" t="s">
        <v>30</v>
      </c>
      <c r="B23" s="113" t="s">
        <v>31</v>
      </c>
      <c r="C23" s="113"/>
      <c r="D23" s="113"/>
      <c r="E23" s="113"/>
      <c r="F23" s="113"/>
    </row>
    <row r="24" spans="1:6" ht="15" customHeight="1" x14ac:dyDescent="0.35">
      <c r="A24" s="13" t="s">
        <v>32</v>
      </c>
      <c r="B24" s="113" t="s">
        <v>33</v>
      </c>
      <c r="C24" s="113"/>
      <c r="D24" s="113"/>
      <c r="E24" s="113"/>
      <c r="F24" s="113"/>
    </row>
    <row r="25" spans="1:6" ht="15" customHeight="1" x14ac:dyDescent="0.35">
      <c r="A25" s="13" t="s">
        <v>34</v>
      </c>
      <c r="B25" s="113" t="s">
        <v>35</v>
      </c>
      <c r="C25" s="113"/>
      <c r="D25" s="113"/>
      <c r="E25" s="113"/>
      <c r="F25" s="113"/>
    </row>
    <row r="26" spans="1:6" ht="15" customHeight="1" x14ac:dyDescent="0.35">
      <c r="A26" s="13" t="s">
        <v>36</v>
      </c>
      <c r="B26" s="113" t="s">
        <v>37</v>
      </c>
      <c r="C26" s="113"/>
      <c r="D26" s="113"/>
      <c r="E26" s="113"/>
      <c r="F26" s="113"/>
    </row>
    <row r="28" spans="1:6" ht="15" customHeight="1" x14ac:dyDescent="0.35">
      <c r="A28" s="4" t="s">
        <v>38</v>
      </c>
      <c r="B28" s="1"/>
      <c r="C28" s="1"/>
      <c r="D28" s="1"/>
      <c r="E28" s="1"/>
      <c r="F28" s="1"/>
    </row>
    <row r="29" spans="1:6" ht="15" customHeight="1" x14ac:dyDescent="0.35">
      <c r="A29" s="14" t="s">
        <v>39</v>
      </c>
      <c r="B29" s="114" t="s">
        <v>40</v>
      </c>
      <c r="C29" s="114"/>
      <c r="D29" s="114"/>
      <c r="E29" s="114"/>
      <c r="F29" s="114"/>
    </row>
    <row r="30" spans="1:6" ht="15" customHeight="1" x14ac:dyDescent="0.35">
      <c r="A30" s="5" t="s">
        <v>41</v>
      </c>
      <c r="B30" s="114" t="s">
        <v>42</v>
      </c>
      <c r="C30" s="114"/>
      <c r="D30" s="114"/>
      <c r="E30" s="114"/>
      <c r="F30" s="114"/>
    </row>
    <row r="31" spans="1:6" ht="15" customHeight="1" x14ac:dyDescent="0.35">
      <c r="A31" s="15" t="s">
        <v>43</v>
      </c>
      <c r="B31" s="114" t="s">
        <v>44</v>
      </c>
      <c r="C31" s="114"/>
      <c r="D31" s="114"/>
      <c r="E31" s="114"/>
      <c r="F31" s="114"/>
    </row>
    <row r="32" spans="1:6" ht="15" customHeight="1" x14ac:dyDescent="0.35">
      <c r="A32" s="16" t="s">
        <v>45</v>
      </c>
      <c r="B32" s="114" t="s">
        <v>46</v>
      </c>
      <c r="C32" s="114"/>
      <c r="D32" s="114"/>
      <c r="E32" s="114"/>
      <c r="F32" s="114"/>
    </row>
  </sheetData>
  <mergeCells count="15">
    <mergeCell ref="A1:F1"/>
    <mergeCell ref="A2:F2"/>
    <mergeCell ref="A3:F3"/>
    <mergeCell ref="B6:F6"/>
    <mergeCell ref="B20:F20"/>
    <mergeCell ref="B21:F21"/>
    <mergeCell ref="B22:F22"/>
    <mergeCell ref="B23:F23"/>
    <mergeCell ref="B24:F24"/>
    <mergeCell ref="B25:F25"/>
    <mergeCell ref="B26:F26"/>
    <mergeCell ref="B29:F29"/>
    <mergeCell ref="B30:F30"/>
    <mergeCell ref="B31:F31"/>
    <mergeCell ref="B32:F32"/>
  </mergeCells>
  <conditionalFormatting sqref="B17:D17">
    <cfRule type="cellIs" dxfId="7" priority="2" operator="equal">
      <formula>"REJECT"</formula>
    </cfRule>
    <cfRule type="cellIs" dxfId="6" priority="3" operator="equal">
      <formula>"ACCEPT"</formula>
    </cfRule>
    <cfRule type="cellIs" dxfId="5" priority="4" operator="equal">
      <formula>"ACCEPT (ideal)"</formula>
    </cfRule>
    <cfRule type="cellIs" dxfId="4" priority="8" operator="equal">
      <formula>"MEETS NPV/IRR (payback fails)"</formula>
    </cfRule>
  </conditionalFormatting>
  <printOptions horizontalCentered="1"/>
  <pageMargins left="0.5" right="0.5" top="0.75" bottom="0.7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B1:F55"/>
  <sheetViews>
    <sheetView showGridLines="0" zoomScaleNormal="100" workbookViewId="0">
      <selection activeCell="B51" sqref="B51:F55"/>
    </sheetView>
  </sheetViews>
  <sheetFormatPr defaultColWidth="8.6328125" defaultRowHeight="14.5" x14ac:dyDescent="0.35"/>
  <cols>
    <col min="1" max="1" width="3" customWidth="1"/>
    <col min="2" max="2" width="36" customWidth="1"/>
    <col min="3" max="6" width="16" customWidth="1"/>
  </cols>
  <sheetData>
    <row r="1" spans="2:6" ht="25.5" customHeight="1" x14ac:dyDescent="0.35">
      <c r="B1" s="123" t="s">
        <v>47</v>
      </c>
      <c r="C1" s="123"/>
      <c r="D1" s="123"/>
      <c r="E1" s="123"/>
      <c r="F1" s="123"/>
    </row>
    <row r="2" spans="2:6" ht="15" customHeight="1" x14ac:dyDescent="0.35">
      <c r="B2" s="124" t="s">
        <v>48</v>
      </c>
      <c r="C2" s="124"/>
      <c r="D2" s="124"/>
      <c r="E2" s="124"/>
      <c r="F2" s="124"/>
    </row>
    <row r="3" spans="2:6" ht="15" customHeight="1" x14ac:dyDescent="0.35">
      <c r="B3" s="125" t="s">
        <v>49</v>
      </c>
      <c r="C3" s="125"/>
      <c r="D3" s="125"/>
      <c r="E3" s="125"/>
      <c r="F3" s="125"/>
    </row>
    <row r="5" spans="2:6" ht="15" customHeight="1" x14ac:dyDescent="0.35">
      <c r="B5" s="121" t="s">
        <v>50</v>
      </c>
      <c r="C5" s="121"/>
      <c r="D5" s="121"/>
      <c r="E5" s="121"/>
      <c r="F5" s="121"/>
    </row>
    <row r="6" spans="2:6" ht="60" customHeight="1" x14ac:dyDescent="0.35">
      <c r="B6" s="126" t="s">
        <v>51</v>
      </c>
      <c r="C6" s="126"/>
      <c r="D6" s="126"/>
      <c r="E6" s="126"/>
      <c r="F6" s="126"/>
    </row>
    <row r="7" spans="2:6" ht="15" customHeight="1" x14ac:dyDescent="0.35">
      <c r="B7" s="126"/>
      <c r="C7" s="126"/>
      <c r="D7" s="126"/>
      <c r="E7" s="126"/>
      <c r="F7" s="126"/>
    </row>
    <row r="8" spans="2:6" ht="15" customHeight="1" x14ac:dyDescent="0.35">
      <c r="B8" s="126"/>
      <c r="C8" s="126"/>
      <c r="D8" s="126"/>
      <c r="E8" s="126"/>
      <c r="F8" s="126"/>
    </row>
    <row r="10" spans="2:6" ht="15" customHeight="1" x14ac:dyDescent="0.35">
      <c r="B10" s="121" t="s">
        <v>52</v>
      </c>
      <c r="C10" s="121"/>
      <c r="D10" s="121"/>
      <c r="E10" s="121"/>
      <c r="F10" s="121"/>
    </row>
    <row r="11" spans="2:6" ht="15" customHeight="1" x14ac:dyDescent="0.35">
      <c r="B11" s="17" t="s">
        <v>53</v>
      </c>
      <c r="C11" s="17" t="s">
        <v>54</v>
      </c>
      <c r="D11" s="17" t="s">
        <v>55</v>
      </c>
      <c r="E11" s="17" t="s">
        <v>56</v>
      </c>
      <c r="F11" s="17" t="s">
        <v>57</v>
      </c>
    </row>
    <row r="12" spans="2:6" ht="15" customHeight="1" x14ac:dyDescent="0.35">
      <c r="B12" s="5" t="s">
        <v>58</v>
      </c>
      <c r="C12" s="18">
        <f>Scenarios!B19/1000000</f>
        <v>-59.609070156254113</v>
      </c>
      <c r="D12" s="18">
        <f>Scenarios!C19/1000000</f>
        <v>197.84316079850686</v>
      </c>
      <c r="E12" s="18">
        <f>Scenarios!D19/1000000</f>
        <v>484.32895375986601</v>
      </c>
      <c r="F12" s="19" t="s">
        <v>59</v>
      </c>
    </row>
    <row r="13" spans="2:6" ht="15" customHeight="1" x14ac:dyDescent="0.35">
      <c r="B13" s="5" t="s">
        <v>20</v>
      </c>
      <c r="C13" s="20">
        <f>Scenarios!B20</f>
        <v>5.1723840904077445E-2</v>
      </c>
      <c r="D13" s="20">
        <f>Scenarios!C20</f>
        <v>0.19867797908696994</v>
      </c>
      <c r="E13" s="20">
        <f>Scenarios!D20</f>
        <v>0.23547073130852603</v>
      </c>
      <c r="F13" s="19" t="s">
        <v>60</v>
      </c>
    </row>
    <row r="14" spans="2:6" ht="15" customHeight="1" x14ac:dyDescent="0.35">
      <c r="B14" s="5" t="s">
        <v>61</v>
      </c>
      <c r="C14" s="21">
        <f>Scenarios!B21</f>
        <v>1.9033910952894577</v>
      </c>
      <c r="D14" s="21">
        <f>Scenarios!C21</f>
        <v>4.0233834516589182</v>
      </c>
      <c r="E14" s="21">
        <f>Scenarios!D21</f>
        <v>4.274671566674817</v>
      </c>
      <c r="F14" s="19" t="s">
        <v>62</v>
      </c>
    </row>
    <row r="15" spans="2:6" ht="27.75" customHeight="1" x14ac:dyDescent="0.35">
      <c r="B15" s="22" t="s">
        <v>63</v>
      </c>
      <c r="C15" s="23" t="s">
        <v>64</v>
      </c>
      <c r="D15" s="24" t="s">
        <v>65</v>
      </c>
      <c r="E15" s="24" t="s">
        <v>66</v>
      </c>
      <c r="F15" s="25" t="s">
        <v>67</v>
      </c>
    </row>
    <row r="18" spans="2:6" ht="15" customHeight="1" x14ac:dyDescent="0.35">
      <c r="B18" s="121" t="s">
        <v>68</v>
      </c>
      <c r="C18" s="121"/>
      <c r="D18" s="121"/>
      <c r="E18" s="121"/>
      <c r="F18" s="121"/>
    </row>
    <row r="19" spans="2:6" ht="15" customHeight="1" x14ac:dyDescent="0.35">
      <c r="B19" s="119" t="s">
        <v>69</v>
      </c>
      <c r="C19" s="119"/>
      <c r="D19" s="119"/>
      <c r="E19" s="119"/>
      <c r="F19" s="119"/>
    </row>
    <row r="20" spans="2:6" ht="49.5" customHeight="1" x14ac:dyDescent="0.35">
      <c r="B20" s="120" t="s">
        <v>70</v>
      </c>
      <c r="C20" s="120"/>
      <c r="D20" s="120"/>
      <c r="E20" s="120"/>
      <c r="F20" s="120"/>
    </row>
    <row r="21" spans="2:6" ht="15" customHeight="1" x14ac:dyDescent="0.35">
      <c r="B21" s="120"/>
      <c r="C21" s="120"/>
      <c r="D21" s="120"/>
      <c r="E21" s="120"/>
      <c r="F21" s="120"/>
    </row>
    <row r="22" spans="2:6" ht="15" customHeight="1" x14ac:dyDescent="0.35">
      <c r="B22" s="120"/>
      <c r="C22" s="120"/>
      <c r="D22" s="120"/>
      <c r="E22" s="120"/>
      <c r="F22" s="120"/>
    </row>
    <row r="23" spans="2:6" ht="15" customHeight="1" x14ac:dyDescent="0.35">
      <c r="B23" s="119" t="s">
        <v>71</v>
      </c>
      <c r="C23" s="119"/>
      <c r="D23" s="119"/>
      <c r="E23" s="119"/>
      <c r="F23" s="119"/>
    </row>
    <row r="24" spans="2:6" ht="49.5" customHeight="1" x14ac:dyDescent="0.35">
      <c r="B24" s="120" t="s">
        <v>72</v>
      </c>
      <c r="C24" s="120"/>
      <c r="D24" s="120"/>
      <c r="E24" s="120"/>
      <c r="F24" s="120"/>
    </row>
    <row r="25" spans="2:6" ht="15" customHeight="1" x14ac:dyDescent="0.35">
      <c r="B25" s="120"/>
      <c r="C25" s="120"/>
      <c r="D25" s="120"/>
      <c r="E25" s="120"/>
      <c r="F25" s="120"/>
    </row>
    <row r="26" spans="2:6" ht="15" customHeight="1" x14ac:dyDescent="0.35">
      <c r="B26" s="120"/>
      <c r="C26" s="120"/>
      <c r="D26" s="120"/>
      <c r="E26" s="120"/>
      <c r="F26" s="120"/>
    </row>
    <row r="27" spans="2:6" ht="15" customHeight="1" x14ac:dyDescent="0.35">
      <c r="B27" s="119" t="s">
        <v>73</v>
      </c>
      <c r="C27" s="119"/>
      <c r="D27" s="119"/>
      <c r="E27" s="119"/>
      <c r="F27" s="119"/>
    </row>
    <row r="28" spans="2:6" ht="49.5" customHeight="1" x14ac:dyDescent="0.35">
      <c r="B28" s="120" t="s">
        <v>74</v>
      </c>
      <c r="C28" s="120"/>
      <c r="D28" s="120"/>
      <c r="E28" s="120"/>
      <c r="F28" s="120"/>
    </row>
    <row r="29" spans="2:6" ht="15" customHeight="1" x14ac:dyDescent="0.35">
      <c r="B29" s="120"/>
      <c r="C29" s="120"/>
      <c r="D29" s="120"/>
      <c r="E29" s="120"/>
      <c r="F29" s="120"/>
    </row>
    <row r="30" spans="2:6" ht="15" customHeight="1" x14ac:dyDescent="0.35">
      <c r="B30" s="120"/>
      <c r="C30" s="120"/>
      <c r="D30" s="120"/>
      <c r="E30" s="120"/>
      <c r="F30" s="120"/>
    </row>
    <row r="32" spans="2:6" ht="15" customHeight="1" x14ac:dyDescent="0.35">
      <c r="B32" s="121" t="s">
        <v>75</v>
      </c>
      <c r="C32" s="121"/>
      <c r="D32" s="121"/>
      <c r="E32" s="121"/>
      <c r="F32" s="121"/>
    </row>
    <row r="33" spans="2:6" ht="15" customHeight="1" x14ac:dyDescent="0.35">
      <c r="B33" s="119" t="s">
        <v>76</v>
      </c>
      <c r="C33" s="119"/>
      <c r="D33" s="119"/>
      <c r="E33" s="119"/>
      <c r="F33" s="119"/>
    </row>
    <row r="34" spans="2:6" ht="54.75" customHeight="1" x14ac:dyDescent="0.35">
      <c r="B34" s="120" t="s">
        <v>77</v>
      </c>
      <c r="C34" s="120"/>
      <c r="D34" s="120"/>
      <c r="E34" s="120"/>
      <c r="F34" s="120"/>
    </row>
    <row r="35" spans="2:6" ht="15" customHeight="1" x14ac:dyDescent="0.35">
      <c r="B35" s="120"/>
      <c r="C35" s="120"/>
      <c r="D35" s="120"/>
      <c r="E35" s="120"/>
      <c r="F35" s="120"/>
    </row>
    <row r="36" spans="2:6" ht="15" customHeight="1" x14ac:dyDescent="0.35">
      <c r="B36" s="120"/>
      <c r="C36" s="120"/>
      <c r="D36" s="120"/>
      <c r="E36" s="120"/>
      <c r="F36" s="120"/>
    </row>
    <row r="37" spans="2:6" ht="15" customHeight="1" x14ac:dyDescent="0.35">
      <c r="B37" s="119" t="s">
        <v>78</v>
      </c>
      <c r="C37" s="119"/>
      <c r="D37" s="119"/>
      <c r="E37" s="119"/>
      <c r="F37" s="119"/>
    </row>
    <row r="38" spans="2:6" ht="54.75" customHeight="1" x14ac:dyDescent="0.35">
      <c r="B38" s="120" t="s">
        <v>79</v>
      </c>
      <c r="C38" s="120"/>
      <c r="D38" s="120"/>
      <c r="E38" s="120"/>
      <c r="F38" s="120"/>
    </row>
    <row r="39" spans="2:6" ht="15" customHeight="1" x14ac:dyDescent="0.35">
      <c r="B39" s="120"/>
      <c r="C39" s="120"/>
      <c r="D39" s="120"/>
      <c r="E39" s="120"/>
      <c r="F39" s="120"/>
    </row>
    <row r="40" spans="2:6" ht="15" customHeight="1" x14ac:dyDescent="0.35">
      <c r="B40" s="120"/>
      <c r="C40" s="120"/>
      <c r="D40" s="120"/>
      <c r="E40" s="120"/>
      <c r="F40" s="120"/>
    </row>
    <row r="41" spans="2:6" ht="15" customHeight="1" x14ac:dyDescent="0.35">
      <c r="B41" s="119" t="s">
        <v>80</v>
      </c>
      <c r="C41" s="119"/>
      <c r="D41" s="119"/>
      <c r="E41" s="119"/>
      <c r="F41" s="119"/>
    </row>
    <row r="42" spans="2:6" ht="54.75" customHeight="1" x14ac:dyDescent="0.35">
      <c r="B42" s="120" t="s">
        <v>81</v>
      </c>
      <c r="C42" s="120"/>
      <c r="D42" s="120"/>
      <c r="E42" s="120"/>
      <c r="F42" s="120"/>
    </row>
    <row r="43" spans="2:6" ht="15" customHeight="1" x14ac:dyDescent="0.35">
      <c r="B43" s="120"/>
      <c r="C43" s="120"/>
      <c r="D43" s="120"/>
      <c r="E43" s="120"/>
      <c r="F43" s="120"/>
    </row>
    <row r="44" spans="2:6" ht="15" customHeight="1" x14ac:dyDescent="0.35">
      <c r="B44" s="120"/>
      <c r="C44" s="120"/>
      <c r="D44" s="120"/>
      <c r="E44" s="120"/>
      <c r="F44" s="120"/>
    </row>
    <row r="45" spans="2:6" ht="15" customHeight="1" x14ac:dyDescent="0.35">
      <c r="B45" s="119" t="s">
        <v>82</v>
      </c>
      <c r="C45" s="119"/>
      <c r="D45" s="119"/>
      <c r="E45" s="119"/>
      <c r="F45" s="119"/>
    </row>
    <row r="46" spans="2:6" ht="54.75" customHeight="1" x14ac:dyDescent="0.35">
      <c r="B46" s="120" t="s">
        <v>83</v>
      </c>
      <c r="C46" s="120"/>
      <c r="D46" s="120"/>
      <c r="E46" s="120"/>
      <c r="F46" s="120"/>
    </row>
    <row r="47" spans="2:6" ht="15" customHeight="1" x14ac:dyDescent="0.35">
      <c r="B47" s="120"/>
      <c r="C47" s="120"/>
      <c r="D47" s="120"/>
      <c r="E47" s="120"/>
      <c r="F47" s="120"/>
    </row>
    <row r="48" spans="2:6" ht="15" customHeight="1" x14ac:dyDescent="0.35">
      <c r="B48" s="120"/>
      <c r="C48" s="120"/>
      <c r="D48" s="120"/>
      <c r="E48" s="120"/>
      <c r="F48" s="120"/>
    </row>
    <row r="50" spans="2:6" ht="15" customHeight="1" x14ac:dyDescent="0.35">
      <c r="B50" s="121" t="s">
        <v>84</v>
      </c>
      <c r="C50" s="121"/>
      <c r="D50" s="121"/>
      <c r="E50" s="121"/>
      <c r="F50" s="121"/>
    </row>
    <row r="51" spans="2:6" ht="99.75" customHeight="1" x14ac:dyDescent="0.35">
      <c r="B51" s="122" t="s">
        <v>404</v>
      </c>
      <c r="C51" s="122"/>
      <c r="D51" s="122"/>
      <c r="E51" s="122"/>
      <c r="F51" s="122"/>
    </row>
    <row r="52" spans="2:6" ht="15" customHeight="1" x14ac:dyDescent="0.35">
      <c r="B52" s="122"/>
      <c r="C52" s="122"/>
      <c r="D52" s="122"/>
      <c r="E52" s="122"/>
      <c r="F52" s="122"/>
    </row>
    <row r="53" spans="2:6" ht="15" customHeight="1" x14ac:dyDescent="0.35">
      <c r="B53" s="122"/>
      <c r="C53" s="122"/>
      <c r="D53" s="122"/>
      <c r="E53" s="122"/>
      <c r="F53" s="122"/>
    </row>
    <row r="54" spans="2:6" ht="15" customHeight="1" x14ac:dyDescent="0.35">
      <c r="B54" s="122"/>
      <c r="C54" s="122"/>
      <c r="D54" s="122"/>
      <c r="E54" s="122"/>
      <c r="F54" s="122"/>
    </row>
    <row r="55" spans="2:6" ht="15" customHeight="1" x14ac:dyDescent="0.35">
      <c r="B55" s="122"/>
      <c r="C55" s="122"/>
      <c r="D55" s="122"/>
      <c r="E55" s="122"/>
      <c r="F55" s="122"/>
    </row>
  </sheetData>
  <mergeCells count="24">
    <mergeCell ref="B1:F1"/>
    <mergeCell ref="B2:F2"/>
    <mergeCell ref="B3:F3"/>
    <mergeCell ref="B5:F5"/>
    <mergeCell ref="B6:F8"/>
    <mergeCell ref="B10:F10"/>
    <mergeCell ref="B18:F18"/>
    <mergeCell ref="B19:F19"/>
    <mergeCell ref="B20:F22"/>
    <mergeCell ref="B23:F23"/>
    <mergeCell ref="B24:F26"/>
    <mergeCell ref="B27:F27"/>
    <mergeCell ref="B28:F30"/>
    <mergeCell ref="B32:F32"/>
    <mergeCell ref="B33:F33"/>
    <mergeCell ref="B45:F45"/>
    <mergeCell ref="B46:F48"/>
    <mergeCell ref="B50:F50"/>
    <mergeCell ref="B51:F55"/>
    <mergeCell ref="B34:F36"/>
    <mergeCell ref="B37:F37"/>
    <mergeCell ref="B38:F40"/>
    <mergeCell ref="B41:F41"/>
    <mergeCell ref="B42:F44"/>
  </mergeCells>
  <printOptions horizontalCentered="1"/>
  <pageMargins left="0.5" right="0.5" top="0.75" bottom="0.75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5911"/>
    <pageSetUpPr fitToPage="1"/>
  </sheetPr>
  <dimension ref="A1:D51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7" sqref="B27"/>
    </sheetView>
  </sheetViews>
  <sheetFormatPr defaultColWidth="8.6328125" defaultRowHeight="14.5" x14ac:dyDescent="0.35"/>
  <cols>
    <col min="1" max="1" width="44" customWidth="1"/>
    <col min="2" max="3" width="18" customWidth="1"/>
    <col min="4" max="4" width="60" customWidth="1"/>
  </cols>
  <sheetData>
    <row r="1" spans="1:4" ht="15" customHeight="1" x14ac:dyDescent="0.35">
      <c r="A1" s="4" t="s">
        <v>85</v>
      </c>
      <c r="B1" s="1"/>
      <c r="C1" s="1"/>
      <c r="D1" s="1"/>
    </row>
    <row r="2" spans="1:4" ht="15" customHeight="1" x14ac:dyDescent="0.35">
      <c r="B2" s="17" t="s">
        <v>86</v>
      </c>
      <c r="C2" s="17" t="s">
        <v>87</v>
      </c>
      <c r="D2" s="17" t="s">
        <v>88</v>
      </c>
    </row>
    <row r="3" spans="1:4" ht="15" customHeight="1" x14ac:dyDescent="0.35">
      <c r="A3" s="4" t="s">
        <v>89</v>
      </c>
      <c r="B3" s="1"/>
      <c r="C3" s="1"/>
      <c r="D3" s="1"/>
    </row>
    <row r="4" spans="1:4" ht="15" customHeight="1" x14ac:dyDescent="0.35">
      <c r="A4" s="3" t="s">
        <v>90</v>
      </c>
      <c r="B4" s="26">
        <v>0.25</v>
      </c>
      <c r="C4" s="27" t="s">
        <v>91</v>
      </c>
      <c r="D4" s="28" t="s">
        <v>92</v>
      </c>
    </row>
    <row r="5" spans="1:4" ht="15" customHeight="1" x14ac:dyDescent="0.35">
      <c r="A5" s="3" t="s">
        <v>93</v>
      </c>
      <c r="B5" s="29">
        <v>5.3999999999999999E-2</v>
      </c>
      <c r="C5" s="27" t="s">
        <v>91</v>
      </c>
      <c r="D5" s="28" t="s">
        <v>94</v>
      </c>
    </row>
    <row r="6" spans="1:4" ht="15" customHeight="1" x14ac:dyDescent="0.35">
      <c r="A6" s="3" t="s">
        <v>95</v>
      </c>
      <c r="B6" s="29">
        <v>0.03</v>
      </c>
      <c r="C6" s="27" t="s">
        <v>91</v>
      </c>
      <c r="D6" s="28" t="s">
        <v>96</v>
      </c>
    </row>
    <row r="8" spans="1:4" ht="15" customHeight="1" x14ac:dyDescent="0.35">
      <c r="A8" s="4" t="s">
        <v>97</v>
      </c>
      <c r="B8" s="1"/>
      <c r="C8" s="1"/>
      <c r="D8" s="1"/>
    </row>
    <row r="9" spans="1:4" ht="15" customHeight="1" x14ac:dyDescent="0.35">
      <c r="A9" s="3" t="s">
        <v>98</v>
      </c>
      <c r="B9" s="30">
        <v>3000000</v>
      </c>
      <c r="C9" s="27" t="s">
        <v>99</v>
      </c>
      <c r="D9" s="28" t="s">
        <v>100</v>
      </c>
    </row>
    <row r="10" spans="1:4" ht="15" customHeight="1" x14ac:dyDescent="0.35">
      <c r="A10" s="3" t="s">
        <v>101</v>
      </c>
      <c r="B10" s="31">
        <v>550</v>
      </c>
      <c r="C10" s="27" t="s">
        <v>102</v>
      </c>
      <c r="D10" s="28" t="s">
        <v>103</v>
      </c>
    </row>
    <row r="11" spans="1:4" ht="15" customHeight="1" x14ac:dyDescent="0.35">
      <c r="A11" s="3" t="s">
        <v>104</v>
      </c>
      <c r="B11" s="31">
        <v>250</v>
      </c>
      <c r="C11" s="27" t="s">
        <v>102</v>
      </c>
      <c r="D11" s="28" t="s">
        <v>105</v>
      </c>
    </row>
    <row r="12" spans="1:4" ht="15" customHeight="1" x14ac:dyDescent="0.35">
      <c r="A12" s="3" t="s">
        <v>106</v>
      </c>
      <c r="B12" s="31">
        <v>30</v>
      </c>
      <c r="C12" s="27" t="s">
        <v>102</v>
      </c>
      <c r="D12" s="28" t="s">
        <v>107</v>
      </c>
    </row>
    <row r="13" spans="1:4" ht="15" customHeight="1" x14ac:dyDescent="0.35">
      <c r="A13" s="3" t="s">
        <v>108</v>
      </c>
      <c r="B13" s="32">
        <v>641842</v>
      </c>
      <c r="C13" s="27" t="s">
        <v>109</v>
      </c>
      <c r="D13" s="28" t="s">
        <v>110</v>
      </c>
    </row>
    <row r="14" spans="1:4" ht="15" customHeight="1" x14ac:dyDescent="0.35">
      <c r="A14" s="3" t="s">
        <v>111</v>
      </c>
      <c r="B14" s="31">
        <v>55.7</v>
      </c>
      <c r="C14" s="27" t="s">
        <v>112</v>
      </c>
      <c r="D14" s="28" t="s">
        <v>113</v>
      </c>
    </row>
    <row r="15" spans="1:4" ht="15" customHeight="1" x14ac:dyDescent="0.35">
      <c r="A15" s="3" t="s">
        <v>114</v>
      </c>
      <c r="B15" s="32">
        <v>2500000</v>
      </c>
      <c r="C15" s="27" t="s">
        <v>115</v>
      </c>
      <c r="D15" s="28" t="s">
        <v>116</v>
      </c>
    </row>
    <row r="16" spans="1:4" ht="15" customHeight="1" x14ac:dyDescent="0.35">
      <c r="A16" s="3" t="s">
        <v>117</v>
      </c>
      <c r="B16" s="32">
        <v>1500000</v>
      </c>
      <c r="C16" s="27" t="s">
        <v>115</v>
      </c>
      <c r="D16" s="28" t="s">
        <v>118</v>
      </c>
    </row>
    <row r="17" spans="1:4" ht="15" customHeight="1" x14ac:dyDescent="0.35">
      <c r="A17" s="3" t="s">
        <v>119</v>
      </c>
      <c r="B17" s="26">
        <v>0.04</v>
      </c>
      <c r="C17" s="27" t="s">
        <v>120</v>
      </c>
      <c r="D17" s="28" t="s">
        <v>121</v>
      </c>
    </row>
    <row r="18" spans="1:4" ht="15" customHeight="1" x14ac:dyDescent="0.35">
      <c r="A18" s="3" t="s">
        <v>122</v>
      </c>
      <c r="B18" s="26">
        <v>0.01</v>
      </c>
      <c r="C18" s="27" t="s">
        <v>120</v>
      </c>
      <c r="D18" s="28" t="s">
        <v>123</v>
      </c>
    </row>
    <row r="19" spans="1:4" ht="15" customHeight="1" x14ac:dyDescent="0.35">
      <c r="A19" s="3" t="s">
        <v>124</v>
      </c>
      <c r="B19" s="26">
        <v>0.01</v>
      </c>
      <c r="C19" s="27" t="s">
        <v>120</v>
      </c>
      <c r="D19" s="28" t="s">
        <v>125</v>
      </c>
    </row>
    <row r="21" spans="1:4" ht="15" customHeight="1" x14ac:dyDescent="0.35">
      <c r="A21" s="4" t="s">
        <v>126</v>
      </c>
      <c r="B21" s="1"/>
      <c r="C21" s="1"/>
      <c r="D21" s="1"/>
    </row>
    <row r="22" spans="1:4" ht="15" customHeight="1" x14ac:dyDescent="0.35">
      <c r="A22" s="3" t="s">
        <v>127</v>
      </c>
      <c r="B22" s="32">
        <v>381000000</v>
      </c>
      <c r="C22" s="27" t="s">
        <v>115</v>
      </c>
      <c r="D22" s="28" t="s">
        <v>128</v>
      </c>
    </row>
    <row r="23" spans="1:4" ht="15" customHeight="1" x14ac:dyDescent="0.35">
      <c r="A23" s="3" t="s">
        <v>129</v>
      </c>
      <c r="B23" s="32">
        <v>48000000</v>
      </c>
      <c r="C23" s="27" t="s">
        <v>115</v>
      </c>
      <c r="D23" s="28" t="s">
        <v>130</v>
      </c>
    </row>
    <row r="24" spans="1:4" ht="15" customHeight="1" x14ac:dyDescent="0.35">
      <c r="A24" s="2" t="s">
        <v>131</v>
      </c>
      <c r="B24" s="32">
        <v>6000000</v>
      </c>
      <c r="C24" s="27" t="s">
        <v>115</v>
      </c>
      <c r="D24" s="28" t="s">
        <v>132</v>
      </c>
    </row>
    <row r="25" spans="1:4" ht="15" customHeight="1" x14ac:dyDescent="0.35">
      <c r="A25" s="3" t="s">
        <v>133</v>
      </c>
      <c r="B25" s="32">
        <v>50000000</v>
      </c>
      <c r="C25" s="27" t="s">
        <v>115</v>
      </c>
      <c r="D25" s="28" t="s">
        <v>110</v>
      </c>
    </row>
    <row r="26" spans="1:4" ht="15" customHeight="1" x14ac:dyDescent="0.35">
      <c r="A26" s="33" t="s">
        <v>134</v>
      </c>
      <c r="B26" s="34">
        <f>B22+B23+B25</f>
        <v>479000000</v>
      </c>
      <c r="C26" s="35" t="s">
        <v>115</v>
      </c>
      <c r="D26" s="36" t="s">
        <v>135</v>
      </c>
    </row>
    <row r="27" spans="1:4" ht="15" customHeight="1" x14ac:dyDescent="0.35">
      <c r="A27" s="3" t="s">
        <v>136</v>
      </c>
      <c r="B27" s="26">
        <v>0.12</v>
      </c>
      <c r="C27" s="27" t="s">
        <v>91</v>
      </c>
      <c r="D27" s="28" t="s">
        <v>137</v>
      </c>
    </row>
    <row r="28" spans="1:4" ht="15" customHeight="1" x14ac:dyDescent="0.35">
      <c r="A28" s="3" t="s">
        <v>138</v>
      </c>
      <c r="B28" s="37">
        <v>5</v>
      </c>
      <c r="C28" s="27" t="s">
        <v>139</v>
      </c>
      <c r="D28" s="28" t="s">
        <v>110</v>
      </c>
    </row>
    <row r="29" spans="1:4" ht="15" customHeight="1" x14ac:dyDescent="0.35">
      <c r="A29" s="3" t="s">
        <v>140</v>
      </c>
      <c r="B29" s="26">
        <v>0.4</v>
      </c>
      <c r="C29" s="27" t="s">
        <v>91</v>
      </c>
      <c r="D29" s="28" t="s">
        <v>141</v>
      </c>
    </row>
    <row r="30" spans="1:4" ht="15" customHeight="1" x14ac:dyDescent="0.35">
      <c r="A30" s="3" t="s">
        <v>142</v>
      </c>
      <c r="B30" s="37">
        <v>10</v>
      </c>
      <c r="C30" s="27" t="s">
        <v>139</v>
      </c>
      <c r="D30" s="28" t="s">
        <v>143</v>
      </c>
    </row>
    <row r="31" spans="1:4" ht="15" customHeight="1" x14ac:dyDescent="0.35">
      <c r="A31" s="3" t="s">
        <v>144</v>
      </c>
      <c r="B31" s="37">
        <v>10</v>
      </c>
      <c r="C31" s="27" t="s">
        <v>139</v>
      </c>
      <c r="D31" s="28" t="s">
        <v>145</v>
      </c>
    </row>
    <row r="32" spans="1:4" ht="15" customHeight="1" x14ac:dyDescent="0.35">
      <c r="A32" s="3" t="s">
        <v>146</v>
      </c>
      <c r="B32" s="26">
        <v>0.12</v>
      </c>
      <c r="C32" s="27" t="s">
        <v>91</v>
      </c>
      <c r="D32" s="28" t="s">
        <v>110</v>
      </c>
    </row>
    <row r="33" spans="1:4" ht="15" customHeight="1" x14ac:dyDescent="0.35">
      <c r="A33" s="3" t="s">
        <v>147</v>
      </c>
      <c r="B33" s="26">
        <v>0.05</v>
      </c>
      <c r="C33" s="27" t="s">
        <v>148</v>
      </c>
      <c r="D33" s="28" t="s">
        <v>149</v>
      </c>
    </row>
    <row r="34" spans="1:4" ht="15" customHeight="1" x14ac:dyDescent="0.35">
      <c r="A34" s="3" t="s">
        <v>150</v>
      </c>
      <c r="B34" s="26">
        <v>0.02</v>
      </c>
      <c r="C34" s="27" t="s">
        <v>148</v>
      </c>
      <c r="D34" s="28" t="s">
        <v>151</v>
      </c>
    </row>
    <row r="36" spans="1:4" ht="15" customHeight="1" x14ac:dyDescent="0.35">
      <c r="A36" s="4" t="s">
        <v>152</v>
      </c>
      <c r="B36" s="1"/>
      <c r="C36" s="1"/>
      <c r="D36" s="1"/>
    </row>
    <row r="37" spans="1:4" ht="15" customHeight="1" x14ac:dyDescent="0.35">
      <c r="A37" s="3" t="s">
        <v>153</v>
      </c>
      <c r="B37" s="32">
        <v>479000000</v>
      </c>
      <c r="C37" s="27" t="s">
        <v>115</v>
      </c>
      <c r="D37" s="28" t="s">
        <v>154</v>
      </c>
    </row>
    <row r="38" spans="1:4" ht="15" customHeight="1" x14ac:dyDescent="0.35">
      <c r="A38" s="3" t="s">
        <v>155</v>
      </c>
      <c r="B38" s="32">
        <v>102500000</v>
      </c>
      <c r="C38" s="27" t="s">
        <v>115</v>
      </c>
      <c r="D38" s="28" t="s">
        <v>156</v>
      </c>
    </row>
    <row r="39" spans="1:4" ht="15" customHeight="1" x14ac:dyDescent="0.35">
      <c r="A39" s="3" t="s">
        <v>157</v>
      </c>
      <c r="B39" s="29">
        <v>9.0999999999999998E-2</v>
      </c>
      <c r="C39" s="27" t="s">
        <v>91</v>
      </c>
      <c r="D39" s="28" t="s">
        <v>158</v>
      </c>
    </row>
    <row r="40" spans="1:4" ht="15" customHeight="1" x14ac:dyDescent="0.35">
      <c r="A40" s="3" t="s">
        <v>159</v>
      </c>
      <c r="B40" s="37">
        <v>10</v>
      </c>
      <c r="C40" s="27" t="s">
        <v>139</v>
      </c>
      <c r="D40" s="28" t="s">
        <v>160</v>
      </c>
    </row>
    <row r="42" spans="1:4" ht="15" customHeight="1" x14ac:dyDescent="0.35">
      <c r="A42" s="4" t="s">
        <v>161</v>
      </c>
      <c r="B42" s="1"/>
      <c r="C42" s="1"/>
      <c r="D42" s="1"/>
    </row>
    <row r="43" spans="1:4" ht="15" customHeight="1" x14ac:dyDescent="0.35">
      <c r="A43" s="3" t="s">
        <v>162</v>
      </c>
      <c r="B43" s="32">
        <v>100000000</v>
      </c>
      <c r="C43" s="27" t="s">
        <v>115</v>
      </c>
      <c r="D43" s="28" t="s">
        <v>163</v>
      </c>
    </row>
    <row r="44" spans="1:4" ht="15" customHeight="1" x14ac:dyDescent="0.35">
      <c r="A44" s="3" t="s">
        <v>164</v>
      </c>
      <c r="B44" s="32">
        <v>2500000</v>
      </c>
      <c r="C44" s="27" t="s">
        <v>115</v>
      </c>
      <c r="D44" s="28" t="s">
        <v>165</v>
      </c>
    </row>
    <row r="45" spans="1:4" ht="15" customHeight="1" x14ac:dyDescent="0.35">
      <c r="A45" s="3" t="s">
        <v>166</v>
      </c>
      <c r="B45" s="37">
        <v>60</v>
      </c>
      <c r="C45" s="27" t="s">
        <v>167</v>
      </c>
      <c r="D45" s="28" t="s">
        <v>168</v>
      </c>
    </row>
    <row r="46" spans="1:4" ht="15" customHeight="1" x14ac:dyDescent="0.35">
      <c r="A46" s="3" t="s">
        <v>169</v>
      </c>
      <c r="B46" s="37">
        <v>30</v>
      </c>
      <c r="C46" s="27" t="s">
        <v>167</v>
      </c>
      <c r="D46" s="28" t="s">
        <v>170</v>
      </c>
    </row>
    <row r="47" spans="1:4" ht="15" customHeight="1" x14ac:dyDescent="0.35">
      <c r="A47" s="3" t="s">
        <v>171</v>
      </c>
      <c r="B47" s="37">
        <v>360</v>
      </c>
      <c r="C47" s="27" t="s">
        <v>167</v>
      </c>
      <c r="D47" s="28" t="s">
        <v>172</v>
      </c>
    </row>
    <row r="49" spans="1:4" ht="15" customHeight="1" x14ac:dyDescent="0.35">
      <c r="A49" s="4" t="s">
        <v>173</v>
      </c>
      <c r="B49" s="1"/>
      <c r="C49" s="1"/>
      <c r="D49" s="1"/>
    </row>
    <row r="50" spans="1:4" ht="15" customHeight="1" x14ac:dyDescent="0.35">
      <c r="A50" s="3" t="s">
        <v>174</v>
      </c>
      <c r="B50" s="38">
        <v>6.1145999999999999E-2</v>
      </c>
      <c r="C50" s="27" t="s">
        <v>91</v>
      </c>
      <c r="D50" s="28" t="s">
        <v>175</v>
      </c>
    </row>
    <row r="51" spans="1:4" ht="15" customHeight="1" x14ac:dyDescent="0.35">
      <c r="A51" s="3" t="s">
        <v>176</v>
      </c>
      <c r="B51" s="29">
        <v>6.1199999999999997E-2</v>
      </c>
      <c r="C51" s="27" t="s">
        <v>91</v>
      </c>
      <c r="D51" s="28" t="s">
        <v>177</v>
      </c>
    </row>
  </sheetData>
  <printOptions horizontalCentered="1"/>
  <pageMargins left="0.5" right="0.5" top="0.75" bottom="0.75" header="0.3" footer="0.3"/>
  <pageSetup fitToHeight="0" orientation="landscape" horizontalDpi="300" verticalDpi="300"/>
  <headerFooter>
    <oddHeader>&amp;C&amp;"Arial,Bold"&amp;10 IDC Capital Budgeting — Assumptions</oddHeader>
    <oddFooter>&amp;L&amp;"Arial,Italic"&amp;9 Confidential&amp;R&amp;"Arial,Regular"&amp;9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3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 x14ac:dyDescent="0.35"/>
  <cols>
    <col min="1" max="1" width="38" customWidth="1"/>
    <col min="2" max="5" width="15" customWidth="1"/>
    <col min="6" max="6" width="32" customWidth="1"/>
  </cols>
  <sheetData>
    <row r="1" spans="1:6" ht="15" customHeight="1" x14ac:dyDescent="0.35">
      <c r="A1" s="4" t="s">
        <v>178</v>
      </c>
      <c r="B1" s="1"/>
      <c r="C1" s="1"/>
      <c r="D1" s="1"/>
      <c r="E1" s="1"/>
      <c r="F1" s="1"/>
    </row>
    <row r="3" spans="1:6" ht="15" customHeight="1" x14ac:dyDescent="0.35">
      <c r="A3" s="128" t="s">
        <v>179</v>
      </c>
      <c r="B3" s="128"/>
      <c r="C3" s="128"/>
      <c r="D3" s="128"/>
      <c r="E3" s="128"/>
      <c r="F3" s="128"/>
    </row>
    <row r="4" spans="1:6" ht="15" customHeight="1" x14ac:dyDescent="0.35">
      <c r="A4" s="39" t="s">
        <v>180</v>
      </c>
      <c r="B4" s="39" t="s">
        <v>181</v>
      </c>
      <c r="C4" s="39" t="s">
        <v>182</v>
      </c>
      <c r="D4" s="39" t="s">
        <v>183</v>
      </c>
      <c r="E4" s="39" t="s">
        <v>184</v>
      </c>
      <c r="F4" s="39" t="s">
        <v>185</v>
      </c>
    </row>
    <row r="5" spans="1:6" ht="15" customHeight="1" x14ac:dyDescent="0.35">
      <c r="A5" s="40" t="s">
        <v>186</v>
      </c>
      <c r="B5" s="41">
        <v>1.36</v>
      </c>
      <c r="C5" s="42">
        <v>7.4999999999999997E-2</v>
      </c>
      <c r="D5" s="43">
        <f>Assumptions!$B$4</f>
        <v>0.25</v>
      </c>
      <c r="E5" s="44">
        <f>B5/(1+(1-D5)*C5)</f>
        <v>1.2875739644970416</v>
      </c>
      <c r="F5" s="45" t="s">
        <v>187</v>
      </c>
    </row>
    <row r="6" spans="1:6" ht="15" customHeight="1" x14ac:dyDescent="0.35">
      <c r="A6" s="40" t="s">
        <v>188</v>
      </c>
      <c r="B6" s="41">
        <v>0.82</v>
      </c>
      <c r="C6" s="46">
        <v>1E-3</v>
      </c>
      <c r="D6" s="43">
        <f>Assumptions!$B$4</f>
        <v>0.25</v>
      </c>
      <c r="E6" s="44">
        <f>B6/(1+(1-D6)*C6)</f>
        <v>0.81938546090432174</v>
      </c>
      <c r="F6" s="45" t="s">
        <v>187</v>
      </c>
    </row>
    <row r="7" spans="1:6" ht="15" customHeight="1" x14ac:dyDescent="0.35">
      <c r="A7" s="40" t="s">
        <v>189</v>
      </c>
      <c r="B7" s="41">
        <v>0.37</v>
      </c>
      <c r="C7" s="42">
        <v>1.9E-2</v>
      </c>
      <c r="D7" s="43">
        <f>Assumptions!$B$4</f>
        <v>0.25</v>
      </c>
      <c r="E7" s="44">
        <f>B7/(1+(1-D7)*C7)</f>
        <v>0.36480157752033521</v>
      </c>
      <c r="F7" s="45" t="s">
        <v>190</v>
      </c>
    </row>
    <row r="8" spans="1:6" ht="15" customHeight="1" x14ac:dyDescent="0.35">
      <c r="A8" s="47" t="s">
        <v>191</v>
      </c>
      <c r="E8" s="48">
        <f>AVERAGE(E5:E7)</f>
        <v>0.82392033430723277</v>
      </c>
    </row>
    <row r="10" spans="1:6" ht="15" customHeight="1" x14ac:dyDescent="0.35">
      <c r="A10" s="128" t="s">
        <v>192</v>
      </c>
      <c r="B10" s="128"/>
      <c r="C10" s="128"/>
      <c r="D10" s="128"/>
      <c r="E10" s="128"/>
      <c r="F10" s="128"/>
    </row>
    <row r="11" spans="1:6" ht="15" customHeight="1" x14ac:dyDescent="0.35">
      <c r="A11" s="3" t="s">
        <v>193</v>
      </c>
      <c r="B11" s="49">
        <f>Assumptions!$B$38</f>
        <v>102500000</v>
      </c>
    </row>
    <row r="12" spans="1:6" ht="15" customHeight="1" x14ac:dyDescent="0.35">
      <c r="A12" s="3" t="s">
        <v>194</v>
      </c>
      <c r="B12" s="49">
        <f>Assumptions!$B$37</f>
        <v>479000000</v>
      </c>
    </row>
    <row r="13" spans="1:6" ht="15" customHeight="1" x14ac:dyDescent="0.35">
      <c r="A13" s="3" t="s">
        <v>195</v>
      </c>
      <c r="B13" s="50">
        <f>B11/B12</f>
        <v>0.21398747390396661</v>
      </c>
    </row>
    <row r="14" spans="1:6" ht="15" customHeight="1" x14ac:dyDescent="0.35">
      <c r="A14" s="3" t="s">
        <v>196</v>
      </c>
      <c r="B14" s="50">
        <f>B11/(B11+B12)</f>
        <v>0.17626827171109199</v>
      </c>
    </row>
    <row r="15" spans="1:6" ht="15" customHeight="1" x14ac:dyDescent="0.35">
      <c r="A15" s="3" t="s">
        <v>197</v>
      </c>
      <c r="B15" s="50">
        <f>B12/(B11+B12)</f>
        <v>0.82373172828890795</v>
      </c>
    </row>
    <row r="16" spans="1:6" ht="15" customHeight="1" x14ac:dyDescent="0.35">
      <c r="A16" s="33" t="s">
        <v>198</v>
      </c>
      <c r="B16" s="51">
        <f>E8*(1+(1-Assumptions!$B$4)*B13)</f>
        <v>0.95615180758462004</v>
      </c>
    </row>
    <row r="18" spans="1:6" ht="15" customHeight="1" x14ac:dyDescent="0.35">
      <c r="A18" s="128" t="s">
        <v>199</v>
      </c>
      <c r="B18" s="128"/>
      <c r="C18" s="128"/>
      <c r="D18" s="128"/>
      <c r="E18" s="128"/>
      <c r="F18" s="128"/>
    </row>
    <row r="19" spans="1:6" ht="15" customHeight="1" x14ac:dyDescent="0.35">
      <c r="A19" s="3" t="s">
        <v>174</v>
      </c>
      <c r="B19" s="52">
        <f>Assumptions!$B$50</f>
        <v>6.1145999999999999E-2</v>
      </c>
    </row>
    <row r="20" spans="1:6" ht="15" customHeight="1" x14ac:dyDescent="0.35">
      <c r="A20" s="3" t="s">
        <v>200</v>
      </c>
      <c r="B20" s="52">
        <f>Assumptions!$B$51</f>
        <v>6.1199999999999997E-2</v>
      </c>
    </row>
    <row r="21" spans="1:6" ht="15" customHeight="1" x14ac:dyDescent="0.35">
      <c r="A21" s="53" t="s">
        <v>201</v>
      </c>
      <c r="B21" s="54">
        <f>B19+B16*B20</f>
        <v>0.11966249062417875</v>
      </c>
    </row>
    <row r="22" spans="1:6" ht="15" customHeight="1" x14ac:dyDescent="0.35">
      <c r="A22" s="3" t="s">
        <v>202</v>
      </c>
      <c r="B22" s="52">
        <f>Assumptions!$B$39</f>
        <v>9.0999999999999998E-2</v>
      </c>
    </row>
    <row r="23" spans="1:6" ht="15" customHeight="1" x14ac:dyDescent="0.35">
      <c r="A23" s="3" t="s">
        <v>183</v>
      </c>
      <c r="B23" s="55">
        <f>Assumptions!$B$4</f>
        <v>0.25</v>
      </c>
    </row>
    <row r="24" spans="1:6" ht="15" customHeight="1" x14ac:dyDescent="0.35">
      <c r="A24" s="3" t="s">
        <v>203</v>
      </c>
      <c r="B24" s="50">
        <f>B22*(1-B23)</f>
        <v>6.8250000000000005E-2</v>
      </c>
    </row>
    <row r="26" spans="1:6" ht="15" customHeight="1" x14ac:dyDescent="0.35">
      <c r="A26" s="56" t="s">
        <v>26</v>
      </c>
      <c r="B26" s="57">
        <f>B15*B21+B14*B24</f>
        <v>0.11060009975749202</v>
      </c>
    </row>
    <row r="28" spans="1:6" ht="15" customHeight="1" x14ac:dyDescent="0.35">
      <c r="A28" s="58" t="s">
        <v>204</v>
      </c>
    </row>
    <row r="29" spans="1:6" ht="15" customHeight="1" x14ac:dyDescent="0.35">
      <c r="A29" s="127" t="s">
        <v>205</v>
      </c>
      <c r="B29" s="127"/>
      <c r="C29" s="127"/>
      <c r="D29" s="127"/>
      <c r="E29" s="127"/>
      <c r="F29" s="127"/>
    </row>
    <row r="30" spans="1:6" ht="15" customHeight="1" x14ac:dyDescent="0.35">
      <c r="A30" s="127" t="s">
        <v>206</v>
      </c>
      <c r="B30" s="127"/>
      <c r="C30" s="127"/>
      <c r="D30" s="127"/>
      <c r="E30" s="127"/>
      <c r="F30" s="127"/>
    </row>
    <row r="31" spans="1:6" ht="15" customHeight="1" x14ac:dyDescent="0.35">
      <c r="A31" s="127" t="s">
        <v>207</v>
      </c>
      <c r="B31" s="127"/>
      <c r="C31" s="127"/>
      <c r="D31" s="127"/>
      <c r="E31" s="127"/>
      <c r="F31" s="127"/>
    </row>
  </sheetData>
  <mergeCells count="6">
    <mergeCell ref="A31:F31"/>
    <mergeCell ref="A3:F3"/>
    <mergeCell ref="A10:F10"/>
    <mergeCell ref="A18:F18"/>
    <mergeCell ref="A29:F29"/>
    <mergeCell ref="A30:F30"/>
  </mergeCells>
  <printOptions horizontalCentered="1"/>
  <pageMargins left="0.5" right="0.5" top="0.75" bottom="0.75" header="0.3" footer="0.3"/>
  <pageSetup fitToHeight="0" orientation="landscape" horizontalDpi="300" verticalDpi="300"/>
  <headerFooter>
    <oddHeader>&amp;C&amp;"Arial,Bold"&amp;10 IDC Capital Budgeting — WACC</oddHeader>
    <oddFooter>&amp;L&amp;"Arial,Italic"&amp;9 Confidential&amp;R&amp;"Arial,Regular"&amp;9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L2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8" sqref="L8"/>
    </sheetView>
  </sheetViews>
  <sheetFormatPr defaultColWidth="8.6328125" defaultRowHeight="14.5" x14ac:dyDescent="0.35"/>
  <cols>
    <col min="1" max="1" width="40" customWidth="1"/>
    <col min="2" max="12" width="15" customWidth="1"/>
  </cols>
  <sheetData>
    <row r="1" spans="1:12" ht="15" customHeight="1" x14ac:dyDescent="0.35">
      <c r="A1" s="4" t="s">
        <v>208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 x14ac:dyDescent="0.35">
      <c r="B2" s="17" t="s">
        <v>209</v>
      </c>
      <c r="C2" s="17" t="s">
        <v>210</v>
      </c>
      <c r="D2" s="17" t="s">
        <v>211</v>
      </c>
      <c r="E2" s="17" t="s">
        <v>212</v>
      </c>
      <c r="F2" s="17" t="s">
        <v>213</v>
      </c>
      <c r="G2" s="17" t="s">
        <v>214</v>
      </c>
      <c r="H2" s="17" t="s">
        <v>215</v>
      </c>
      <c r="I2" s="17" t="s">
        <v>216</v>
      </c>
      <c r="J2" s="17" t="s">
        <v>217</v>
      </c>
      <c r="K2" s="17" t="s">
        <v>218</v>
      </c>
      <c r="L2" s="17" t="s">
        <v>219</v>
      </c>
    </row>
    <row r="3" spans="1:12" ht="15" customHeight="1" x14ac:dyDescent="0.35">
      <c r="B3" s="59">
        <v>2022</v>
      </c>
      <c r="C3" s="59">
        <v>2023</v>
      </c>
      <c r="D3" s="59">
        <v>2024</v>
      </c>
      <c r="E3" s="59">
        <v>2025</v>
      </c>
      <c r="F3" s="59">
        <v>2026</v>
      </c>
      <c r="G3" s="59">
        <v>2027</v>
      </c>
      <c r="H3" s="59">
        <v>2028</v>
      </c>
      <c r="I3" s="59">
        <v>2029</v>
      </c>
      <c r="J3" s="59">
        <v>2030</v>
      </c>
      <c r="K3" s="59">
        <v>2031</v>
      </c>
      <c r="L3" s="59">
        <v>2032</v>
      </c>
    </row>
    <row r="5" spans="1:12" ht="15" customHeight="1" x14ac:dyDescent="0.35">
      <c r="A5" s="60" t="s">
        <v>220</v>
      </c>
    </row>
    <row r="6" spans="1:12" ht="15" customHeight="1" x14ac:dyDescent="0.35">
      <c r="A6" s="3" t="s">
        <v>221</v>
      </c>
      <c r="B6" s="61">
        <f>Assumptions!$B$22</f>
        <v>381000000</v>
      </c>
    </row>
    <row r="7" spans="1:12" ht="15" customHeight="1" x14ac:dyDescent="0.35">
      <c r="A7" s="2" t="s">
        <v>222</v>
      </c>
      <c r="G7" s="62">
        <f>Assumptions!$B$22*Assumptions!$B$29</f>
        <v>152400000</v>
      </c>
    </row>
    <row r="8" spans="1:12" ht="15" customHeight="1" x14ac:dyDescent="0.35">
      <c r="A8" s="2" t="s">
        <v>223</v>
      </c>
      <c r="L8" s="62">
        <f>Assumptions!$B$22*Assumptions!$B$27</f>
        <v>45720000</v>
      </c>
    </row>
    <row r="9" spans="1:12" ht="15" customHeight="1" x14ac:dyDescent="0.35">
      <c r="A9" s="53" t="s">
        <v>224</v>
      </c>
      <c r="C9" s="62">
        <f>(Assumptions!$B$22-Assumptions!$B$22*Assumptions!$B$27)/Assumptions!$B$28</f>
        <v>67056000</v>
      </c>
      <c r="D9" s="62">
        <f>(Assumptions!$B$22-Assumptions!$B$22*Assumptions!$B$27)/Assumptions!$B$28</f>
        <v>67056000</v>
      </c>
      <c r="E9" s="62">
        <f>(Assumptions!$B$22-Assumptions!$B$22*Assumptions!$B$27)/Assumptions!$B$28</f>
        <v>67056000</v>
      </c>
      <c r="F9" s="62">
        <f>(Assumptions!$B$22-Assumptions!$B$22*Assumptions!$B$27)/Assumptions!$B$28</f>
        <v>67056000</v>
      </c>
      <c r="G9" s="62">
        <f>(Assumptions!$B$22-Assumptions!$B$22*Assumptions!$B$27)/Assumptions!$B$28</f>
        <v>67056000</v>
      </c>
      <c r="H9" s="62">
        <f>Assumptions!$B$22*Assumptions!$B$29/5</f>
        <v>30480000</v>
      </c>
      <c r="I9" s="62">
        <f>Assumptions!$B$22*Assumptions!$B$29/5</f>
        <v>30480000</v>
      </c>
      <c r="J9" s="62">
        <f>Assumptions!$B$22*Assumptions!$B$29/5</f>
        <v>30480000</v>
      </c>
      <c r="K9" s="62">
        <f>Assumptions!$B$22*Assumptions!$B$29/5</f>
        <v>30480000</v>
      </c>
      <c r="L9" s="62">
        <f>Assumptions!$B$22*Assumptions!$B$29/5</f>
        <v>30480000</v>
      </c>
    </row>
    <row r="10" spans="1:12" ht="15" customHeight="1" x14ac:dyDescent="0.35">
      <c r="A10" s="2" t="s">
        <v>225</v>
      </c>
      <c r="B10" s="62">
        <f>Assumptions!$B$22</f>
        <v>381000000</v>
      </c>
      <c r="C10" s="62">
        <f>B10-C9</f>
        <v>313944000</v>
      </c>
      <c r="D10" s="62">
        <f>C10-D9</f>
        <v>246888000</v>
      </c>
      <c r="E10" s="62">
        <f>D10-E9</f>
        <v>179832000</v>
      </c>
      <c r="F10" s="62">
        <f>E10-F9</f>
        <v>112776000</v>
      </c>
      <c r="G10" s="62">
        <f>F10+G7-G9</f>
        <v>198120000</v>
      </c>
      <c r="H10" s="110">
        <f>G10-H9</f>
        <v>167640000</v>
      </c>
      <c r="I10" s="62">
        <f>H10-I9</f>
        <v>137160000</v>
      </c>
      <c r="J10" s="62">
        <f>I10-J9</f>
        <v>106680000</v>
      </c>
      <c r="K10" s="62">
        <f>J10-K9</f>
        <v>76200000</v>
      </c>
      <c r="L10" s="62">
        <f>K10-L9+L8</f>
        <v>91440000</v>
      </c>
    </row>
    <row r="12" spans="1:12" ht="15" customHeight="1" x14ac:dyDescent="0.35">
      <c r="A12" s="60" t="s">
        <v>226</v>
      </c>
    </row>
    <row r="13" spans="1:12" ht="15" customHeight="1" x14ac:dyDescent="0.35">
      <c r="A13" s="3" t="s">
        <v>221</v>
      </c>
      <c r="B13" s="61">
        <f>Assumptions!$B$23</f>
        <v>48000000</v>
      </c>
    </row>
    <row r="14" spans="1:12" ht="15" customHeight="1" x14ac:dyDescent="0.35">
      <c r="A14" s="53" t="s">
        <v>224</v>
      </c>
      <c r="C14" s="62">
        <f>Assumptions!$B$23/Assumptions!$B$30</f>
        <v>4800000</v>
      </c>
      <c r="D14" s="62">
        <f>Assumptions!$B$23/Assumptions!$B$30</f>
        <v>4800000</v>
      </c>
      <c r="E14" s="62">
        <f>Assumptions!$B$23/Assumptions!$B$30</f>
        <v>4800000</v>
      </c>
      <c r="F14" s="62">
        <f>Assumptions!$B$23/Assumptions!$B$30</f>
        <v>4800000</v>
      </c>
      <c r="G14" s="62">
        <f>Assumptions!$B$23/Assumptions!$B$30</f>
        <v>4800000</v>
      </c>
      <c r="H14" s="62">
        <f>Assumptions!$B$23/Assumptions!$B$30</f>
        <v>4800000</v>
      </c>
      <c r="I14" s="62">
        <f>Assumptions!$B$23/Assumptions!$B$30</f>
        <v>4800000</v>
      </c>
      <c r="J14" s="62">
        <f>Assumptions!$B$23/Assumptions!$B$30</f>
        <v>4800000</v>
      </c>
      <c r="K14" s="62">
        <f>Assumptions!$B$23/Assumptions!$B$30</f>
        <v>4800000</v>
      </c>
      <c r="L14" s="62">
        <f>Assumptions!$B$23/Assumptions!$B$30</f>
        <v>4800000</v>
      </c>
    </row>
    <row r="15" spans="1:12" ht="15" customHeight="1" x14ac:dyDescent="0.35">
      <c r="A15" s="2" t="s">
        <v>225</v>
      </c>
      <c r="B15" s="62">
        <f>Assumptions!$B$23</f>
        <v>48000000</v>
      </c>
      <c r="C15" s="62">
        <f t="shared" ref="C15:J15" si="0">B15-C14</f>
        <v>43200000</v>
      </c>
      <c r="D15" s="62">
        <f t="shared" si="0"/>
        <v>38400000</v>
      </c>
      <c r="E15" s="62">
        <f t="shared" si="0"/>
        <v>33600000</v>
      </c>
      <c r="F15" s="62">
        <f t="shared" si="0"/>
        <v>28800000</v>
      </c>
      <c r="G15" s="62">
        <f>F15-G14</f>
        <v>24000000</v>
      </c>
      <c r="H15" s="62">
        <f t="shared" si="0"/>
        <v>19200000</v>
      </c>
      <c r="I15" s="62">
        <f>H15-I14</f>
        <v>14400000</v>
      </c>
      <c r="J15" s="62">
        <f t="shared" si="0"/>
        <v>9600000</v>
      </c>
      <c r="K15" s="62">
        <f>J15-K14</f>
        <v>4800000</v>
      </c>
      <c r="L15" s="62">
        <f>K15-L14</f>
        <v>0</v>
      </c>
    </row>
    <row r="17" spans="1:12" ht="15" customHeight="1" x14ac:dyDescent="0.35">
      <c r="A17" s="60" t="s">
        <v>227</v>
      </c>
    </row>
    <row r="18" spans="1:12" ht="15" customHeight="1" x14ac:dyDescent="0.35">
      <c r="A18" s="3" t="s">
        <v>221</v>
      </c>
      <c r="B18" s="61">
        <f>Assumptions!$B$25</f>
        <v>50000000</v>
      </c>
    </row>
    <row r="19" spans="1:12" ht="15" customHeight="1" x14ac:dyDescent="0.35">
      <c r="A19" s="2" t="s">
        <v>228</v>
      </c>
      <c r="L19" s="62">
        <f>Assumptions!$B$25*Assumptions!$B$32</f>
        <v>6000000</v>
      </c>
    </row>
    <row r="20" spans="1:12" ht="15" customHeight="1" x14ac:dyDescent="0.35">
      <c r="A20" s="53" t="s">
        <v>224</v>
      </c>
      <c r="C20" s="62">
        <f>(Assumptions!$B$25-Assumptions!$B$25*Assumptions!$B$32)/Assumptions!$B$31</f>
        <v>4400000</v>
      </c>
      <c r="D20" s="62">
        <f>(Assumptions!$B$25-Assumptions!$B$25*Assumptions!$B$32)/Assumptions!$B$31</f>
        <v>4400000</v>
      </c>
      <c r="E20" s="62">
        <f>(Assumptions!$B$25-Assumptions!$B$25*Assumptions!$B$32)/Assumptions!$B$31</f>
        <v>4400000</v>
      </c>
      <c r="F20" s="62">
        <f>(Assumptions!$B$25-Assumptions!$B$25*Assumptions!$B$32)/Assumptions!$B$31</f>
        <v>4400000</v>
      </c>
      <c r="G20" s="62">
        <f>(Assumptions!$B$25-Assumptions!$B$25*Assumptions!$B$32)/Assumptions!$B$31</f>
        <v>4400000</v>
      </c>
      <c r="H20" s="62">
        <f>(Assumptions!$B$25-Assumptions!$B$25*Assumptions!$B$32)/Assumptions!$B$31</f>
        <v>4400000</v>
      </c>
      <c r="I20" s="62">
        <f>(Assumptions!$B$25-Assumptions!$B$25*Assumptions!$B$32)/Assumptions!$B$31</f>
        <v>4400000</v>
      </c>
      <c r="J20" s="62">
        <f>(Assumptions!$B$25-Assumptions!$B$25*Assumptions!$B$32)/Assumptions!$B$31</f>
        <v>4400000</v>
      </c>
      <c r="K20" s="62">
        <f>(Assumptions!$B$25-Assumptions!$B$25*Assumptions!$B$32)/Assumptions!$B$31</f>
        <v>4400000</v>
      </c>
      <c r="L20" s="62">
        <f>(Assumptions!$B$25-Assumptions!$B$25*Assumptions!$B$32)/Assumptions!$B$31</f>
        <v>4400000</v>
      </c>
    </row>
    <row r="21" spans="1:12" ht="15" customHeight="1" x14ac:dyDescent="0.35">
      <c r="A21" s="2" t="s">
        <v>225</v>
      </c>
      <c r="B21" s="62">
        <f>Assumptions!$B$25</f>
        <v>50000000</v>
      </c>
      <c r="C21" s="62">
        <f t="shared" ref="C21:K21" si="1">B21-C20</f>
        <v>45600000</v>
      </c>
      <c r="D21" s="62">
        <f t="shared" si="1"/>
        <v>41200000</v>
      </c>
      <c r="E21" s="62">
        <f t="shared" si="1"/>
        <v>36800000</v>
      </c>
      <c r="F21" s="62">
        <f t="shared" si="1"/>
        <v>32400000</v>
      </c>
      <c r="G21" s="62">
        <f t="shared" si="1"/>
        <v>28000000</v>
      </c>
      <c r="H21" s="62">
        <f t="shared" si="1"/>
        <v>23600000</v>
      </c>
      <c r="I21" s="62">
        <f t="shared" si="1"/>
        <v>19200000</v>
      </c>
      <c r="J21" s="62">
        <f t="shared" si="1"/>
        <v>14800000</v>
      </c>
      <c r="K21" s="62">
        <f t="shared" si="1"/>
        <v>10400000</v>
      </c>
      <c r="L21" s="62">
        <f>K21-L20+L19</f>
        <v>12000000</v>
      </c>
    </row>
    <row r="23" spans="1:12" ht="15" customHeight="1" x14ac:dyDescent="0.35">
      <c r="A23" s="63" t="s">
        <v>229</v>
      </c>
      <c r="C23" s="34">
        <f t="shared" ref="C23:L23" si="2">C9+C14+C20</f>
        <v>76256000</v>
      </c>
      <c r="D23" s="34">
        <f t="shared" si="2"/>
        <v>76256000</v>
      </c>
      <c r="E23" s="34">
        <f t="shared" si="2"/>
        <v>76256000</v>
      </c>
      <c r="F23" s="34">
        <f t="shared" si="2"/>
        <v>76256000</v>
      </c>
      <c r="G23" s="34">
        <f t="shared" si="2"/>
        <v>76256000</v>
      </c>
      <c r="H23" s="34">
        <f t="shared" si="2"/>
        <v>39680000</v>
      </c>
      <c r="I23" s="34">
        <f t="shared" si="2"/>
        <v>39680000</v>
      </c>
      <c r="J23" s="34">
        <f t="shared" si="2"/>
        <v>39680000</v>
      </c>
      <c r="K23" s="34">
        <f t="shared" si="2"/>
        <v>39680000</v>
      </c>
      <c r="L23" s="34">
        <f t="shared" si="2"/>
        <v>39680000</v>
      </c>
    </row>
    <row r="24" spans="1:12" ht="15" customHeight="1" x14ac:dyDescent="0.35">
      <c r="A24" s="64" t="s">
        <v>230</v>
      </c>
      <c r="B24" s="65">
        <f>B10+B15+B21</f>
        <v>479000000</v>
      </c>
      <c r="C24" s="65">
        <f t="shared" ref="C24:L24" si="3">C10+C15+C21</f>
        <v>402744000</v>
      </c>
      <c r="D24" s="65">
        <f t="shared" si="3"/>
        <v>326488000</v>
      </c>
      <c r="E24" s="65">
        <f t="shared" si="3"/>
        <v>250232000</v>
      </c>
      <c r="F24" s="65">
        <f t="shared" si="3"/>
        <v>173976000</v>
      </c>
      <c r="G24" s="65">
        <f>G10+G15+G21</f>
        <v>250120000</v>
      </c>
      <c r="H24" s="65">
        <f t="shared" si="3"/>
        <v>210440000</v>
      </c>
      <c r="I24" s="65">
        <f t="shared" si="3"/>
        <v>170760000</v>
      </c>
      <c r="J24" s="65">
        <f t="shared" si="3"/>
        <v>131080000</v>
      </c>
      <c r="K24" s="65">
        <f t="shared" si="3"/>
        <v>91400000</v>
      </c>
      <c r="L24" s="65">
        <f t="shared" si="3"/>
        <v>103440000</v>
      </c>
    </row>
    <row r="25" spans="1:12" ht="15" customHeight="1" x14ac:dyDescent="0.35">
      <c r="A25" s="28" t="s">
        <v>231</v>
      </c>
      <c r="B25" s="66">
        <f t="shared" ref="B25:L25" si="4">B10</f>
        <v>381000000</v>
      </c>
      <c r="C25" s="66">
        <f t="shared" si="4"/>
        <v>313944000</v>
      </c>
      <c r="D25" s="66">
        <f>D10</f>
        <v>246888000</v>
      </c>
      <c r="E25" s="66">
        <f t="shared" si="4"/>
        <v>179832000</v>
      </c>
      <c r="F25" s="66">
        <f t="shared" si="4"/>
        <v>112776000</v>
      </c>
      <c r="G25" s="66">
        <f t="shared" si="4"/>
        <v>198120000</v>
      </c>
      <c r="H25" s="66">
        <f t="shared" si="4"/>
        <v>167640000</v>
      </c>
      <c r="I25" s="66">
        <f t="shared" si="4"/>
        <v>137160000</v>
      </c>
      <c r="J25" s="66">
        <f t="shared" si="4"/>
        <v>106680000</v>
      </c>
      <c r="K25" s="66">
        <f t="shared" si="4"/>
        <v>76200000</v>
      </c>
      <c r="L25" s="66">
        <f t="shared" si="4"/>
        <v>91440000</v>
      </c>
    </row>
    <row r="26" spans="1:12" ht="15" customHeight="1" x14ac:dyDescent="0.35">
      <c r="A26" s="28" t="s">
        <v>232</v>
      </c>
      <c r="B26" s="66">
        <f t="shared" ref="B26:L26" si="5">B15</f>
        <v>48000000</v>
      </c>
      <c r="C26" s="66">
        <f t="shared" si="5"/>
        <v>43200000</v>
      </c>
      <c r="D26" s="66">
        <f t="shared" si="5"/>
        <v>38400000</v>
      </c>
      <c r="E26" s="66">
        <f t="shared" si="5"/>
        <v>33600000</v>
      </c>
      <c r="F26" s="66">
        <f t="shared" si="5"/>
        <v>28800000</v>
      </c>
      <c r="G26" s="66">
        <f t="shared" si="5"/>
        <v>24000000</v>
      </c>
      <c r="H26" s="66">
        <f t="shared" si="5"/>
        <v>19200000</v>
      </c>
      <c r="I26" s="66">
        <f t="shared" si="5"/>
        <v>14400000</v>
      </c>
      <c r="J26" s="66">
        <f t="shared" si="5"/>
        <v>9600000</v>
      </c>
      <c r="K26" s="66">
        <f t="shared" si="5"/>
        <v>4800000</v>
      </c>
      <c r="L26" s="66">
        <f t="shared" si="5"/>
        <v>0</v>
      </c>
    </row>
    <row r="27" spans="1:12" ht="15" customHeight="1" x14ac:dyDescent="0.35">
      <c r="A27" s="28" t="s">
        <v>233</v>
      </c>
      <c r="B27" s="66">
        <f t="shared" ref="B27:L27" si="6">B21</f>
        <v>50000000</v>
      </c>
      <c r="C27" s="66">
        <f t="shared" si="6"/>
        <v>45600000</v>
      </c>
      <c r="D27" s="66">
        <f t="shared" si="6"/>
        <v>41200000</v>
      </c>
      <c r="E27" s="66">
        <f t="shared" si="6"/>
        <v>36800000</v>
      </c>
      <c r="F27" s="66">
        <f t="shared" si="6"/>
        <v>32400000</v>
      </c>
      <c r="G27" s="66">
        <f t="shared" si="6"/>
        <v>28000000</v>
      </c>
      <c r="H27" s="66">
        <f t="shared" si="6"/>
        <v>23600000</v>
      </c>
      <c r="I27" s="66">
        <f t="shared" si="6"/>
        <v>19200000</v>
      </c>
      <c r="J27" s="66">
        <f t="shared" si="6"/>
        <v>14800000</v>
      </c>
      <c r="K27" s="66">
        <f t="shared" si="6"/>
        <v>10400000</v>
      </c>
      <c r="L27" s="66">
        <f t="shared" si="6"/>
        <v>12000000</v>
      </c>
    </row>
  </sheetData>
  <printOptions horizontalCentered="1"/>
  <pageMargins left="0.5" right="0.5" top="0.75" bottom="0.75" header="0.3" footer="0.3"/>
  <pageSetup fitToHeight="0" orientation="landscape" horizontalDpi="300" verticalDpi="300"/>
  <headerFooter>
    <oddHeader>&amp;C&amp;"Arial,Bold"&amp;10 IDC Capital Budgeting — Depreciation</oddHeader>
    <oddFooter>&amp;L&amp;"Arial,Italic"&amp;9 Confidential&amp;R&amp;"Arial,Regular"&amp;9 Page &amp;P of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F19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8" sqref="A8"/>
    </sheetView>
  </sheetViews>
  <sheetFormatPr defaultColWidth="8.6328125" defaultRowHeight="14.5" x14ac:dyDescent="0.35"/>
  <cols>
    <col min="1" max="1" width="23.6328125" bestFit="1" customWidth="1"/>
    <col min="2" max="6" width="18" customWidth="1"/>
  </cols>
  <sheetData>
    <row r="1" spans="1:6" ht="28" customHeight="1" x14ac:dyDescent="0.35">
      <c r="A1" s="111" t="s">
        <v>234</v>
      </c>
      <c r="B1" s="1"/>
      <c r="C1" s="1"/>
      <c r="D1" s="1"/>
      <c r="E1" s="1"/>
      <c r="F1" s="1"/>
    </row>
    <row r="3" spans="1:6" ht="15" customHeight="1" x14ac:dyDescent="0.35">
      <c r="A3" s="53" t="s">
        <v>235</v>
      </c>
      <c r="B3" s="61">
        <f>Assumptions!$B$38</f>
        <v>102500000</v>
      </c>
    </row>
    <row r="4" spans="1:6" ht="15" customHeight="1" x14ac:dyDescent="0.35">
      <c r="A4" s="53" t="s">
        <v>236</v>
      </c>
      <c r="B4" s="67">
        <f>Assumptions!$B$39</f>
        <v>9.0999999999999998E-2</v>
      </c>
    </row>
    <row r="5" spans="1:6" ht="15" customHeight="1" x14ac:dyDescent="0.35">
      <c r="A5" s="53" t="s">
        <v>237</v>
      </c>
      <c r="B5" s="68">
        <f>Assumptions!$B$40</f>
        <v>10</v>
      </c>
    </row>
    <row r="6" spans="1:6" ht="15" customHeight="1" x14ac:dyDescent="0.35">
      <c r="A6" s="53" t="s">
        <v>238</v>
      </c>
      <c r="B6" s="69">
        <f>PMT(B4,B5,-B3)</f>
        <v>16041928.950240029</v>
      </c>
    </row>
    <row r="8" spans="1:6" ht="15" customHeight="1" x14ac:dyDescent="0.35">
      <c r="A8" s="39" t="s">
        <v>239</v>
      </c>
      <c r="B8" s="39" t="s">
        <v>240</v>
      </c>
      <c r="C8" s="39" t="s">
        <v>241</v>
      </c>
      <c r="D8" s="39" t="s">
        <v>235</v>
      </c>
      <c r="E8" s="39" t="s">
        <v>242</v>
      </c>
      <c r="F8" s="39" t="s">
        <v>243</v>
      </c>
    </row>
    <row r="9" spans="1:6" ht="15" customHeight="1" x14ac:dyDescent="0.35">
      <c r="A9" s="70">
        <v>1</v>
      </c>
      <c r="B9" s="71">
        <f>B3</f>
        <v>102500000</v>
      </c>
      <c r="C9" s="71">
        <f t="shared" ref="C9:C18" si="0">B9*$B$4</f>
        <v>9327500</v>
      </c>
      <c r="D9" s="71">
        <f t="shared" ref="D9:D18" si="1">E9-C9</f>
        <v>6714428.950240029</v>
      </c>
      <c r="E9" s="71">
        <f t="shared" ref="E9:E18" si="2">$B$6</f>
        <v>16041928.950240029</v>
      </c>
      <c r="F9" s="71">
        <f t="shared" ref="F9:F18" si="3">B9-D9</f>
        <v>95785571.049759969</v>
      </c>
    </row>
    <row r="10" spans="1:6" ht="15" customHeight="1" x14ac:dyDescent="0.35">
      <c r="A10" s="70">
        <v>2</v>
      </c>
      <c r="B10" s="71">
        <f t="shared" ref="B10:B18" si="4">F9</f>
        <v>95785571.049759969</v>
      </c>
      <c r="C10" s="71">
        <f t="shared" si="0"/>
        <v>8716486.9655281566</v>
      </c>
      <c r="D10" s="71">
        <f t="shared" si="1"/>
        <v>7325441.9847118724</v>
      </c>
      <c r="E10" s="71">
        <f t="shared" si="2"/>
        <v>16041928.950240029</v>
      </c>
      <c r="F10" s="71">
        <f t="shared" si="3"/>
        <v>88460129.065048099</v>
      </c>
    </row>
    <row r="11" spans="1:6" ht="15" customHeight="1" x14ac:dyDescent="0.35">
      <c r="A11" s="70">
        <v>3</v>
      </c>
      <c r="B11" s="71">
        <f t="shared" si="4"/>
        <v>88460129.065048099</v>
      </c>
      <c r="C11" s="71">
        <f t="shared" si="0"/>
        <v>8049871.7449193764</v>
      </c>
      <c r="D11" s="71">
        <f t="shared" si="1"/>
        <v>7992057.2053206526</v>
      </c>
      <c r="E11" s="71">
        <f t="shared" si="2"/>
        <v>16041928.950240029</v>
      </c>
      <c r="F11" s="71">
        <f t="shared" si="3"/>
        <v>80468071.859727442</v>
      </c>
    </row>
    <row r="12" spans="1:6" ht="15" customHeight="1" x14ac:dyDescent="0.35">
      <c r="A12" s="70">
        <v>4</v>
      </c>
      <c r="B12" s="71">
        <f t="shared" si="4"/>
        <v>80468071.859727442</v>
      </c>
      <c r="C12" s="71">
        <f t="shared" si="0"/>
        <v>7322594.539235197</v>
      </c>
      <c r="D12" s="71">
        <f t="shared" si="1"/>
        <v>8719334.411004832</v>
      </c>
      <c r="E12" s="71">
        <f t="shared" si="2"/>
        <v>16041928.950240029</v>
      </c>
      <c r="F12" s="71">
        <f t="shared" si="3"/>
        <v>71748737.448722616</v>
      </c>
    </row>
    <row r="13" spans="1:6" ht="15" customHeight="1" x14ac:dyDescent="0.35">
      <c r="A13" s="70">
        <v>5</v>
      </c>
      <c r="B13" s="71">
        <f t="shared" si="4"/>
        <v>71748737.448722616</v>
      </c>
      <c r="C13" s="71">
        <f t="shared" si="0"/>
        <v>6529135.107833758</v>
      </c>
      <c r="D13" s="71">
        <f t="shared" si="1"/>
        <v>9512793.842406271</v>
      </c>
      <c r="E13" s="71">
        <f t="shared" si="2"/>
        <v>16041928.950240029</v>
      </c>
      <c r="F13" s="71">
        <f t="shared" si="3"/>
        <v>62235943.606316343</v>
      </c>
    </row>
    <row r="14" spans="1:6" ht="15" customHeight="1" x14ac:dyDescent="0.35">
      <c r="A14" s="70">
        <v>6</v>
      </c>
      <c r="B14" s="71">
        <f t="shared" si="4"/>
        <v>62235943.606316343</v>
      </c>
      <c r="C14" s="71">
        <f t="shared" si="0"/>
        <v>5663470.8681747867</v>
      </c>
      <c r="D14" s="71">
        <f t="shared" si="1"/>
        <v>10378458.082065243</v>
      </c>
      <c r="E14" s="71">
        <f t="shared" si="2"/>
        <v>16041928.950240029</v>
      </c>
      <c r="F14" s="71">
        <f t="shared" si="3"/>
        <v>51857485.524251103</v>
      </c>
    </row>
    <row r="15" spans="1:6" ht="15" customHeight="1" x14ac:dyDescent="0.35">
      <c r="A15" s="70">
        <v>7</v>
      </c>
      <c r="B15" s="71">
        <f t="shared" si="4"/>
        <v>51857485.524251103</v>
      </c>
      <c r="C15" s="71">
        <f t="shared" si="0"/>
        <v>4719031.1827068506</v>
      </c>
      <c r="D15" s="71">
        <f t="shared" si="1"/>
        <v>11322897.767533179</v>
      </c>
      <c r="E15" s="71">
        <f t="shared" si="2"/>
        <v>16041928.950240029</v>
      </c>
      <c r="F15" s="71">
        <f t="shared" si="3"/>
        <v>40534587.75671792</v>
      </c>
    </row>
    <row r="16" spans="1:6" ht="15" customHeight="1" x14ac:dyDescent="0.35">
      <c r="A16" s="70">
        <v>8</v>
      </c>
      <c r="B16" s="71">
        <f t="shared" si="4"/>
        <v>40534587.75671792</v>
      </c>
      <c r="C16" s="71">
        <f t="shared" si="0"/>
        <v>3688647.4858613308</v>
      </c>
      <c r="D16" s="71">
        <f t="shared" si="1"/>
        <v>12353281.464378698</v>
      </c>
      <c r="E16" s="71">
        <f t="shared" si="2"/>
        <v>16041928.950240029</v>
      </c>
      <c r="F16" s="71">
        <f t="shared" si="3"/>
        <v>28181306.292339221</v>
      </c>
    </row>
    <row r="17" spans="1:6" ht="15" customHeight="1" x14ac:dyDescent="0.35">
      <c r="A17" s="70">
        <v>9</v>
      </c>
      <c r="B17" s="71">
        <f t="shared" si="4"/>
        <v>28181306.292339221</v>
      </c>
      <c r="C17" s="71">
        <f t="shared" si="0"/>
        <v>2564498.8726028688</v>
      </c>
      <c r="D17" s="71">
        <f t="shared" si="1"/>
        <v>13477430.07763716</v>
      </c>
      <c r="E17" s="71">
        <f t="shared" si="2"/>
        <v>16041928.950240029</v>
      </c>
      <c r="F17" s="71">
        <f t="shared" si="3"/>
        <v>14703876.21470206</v>
      </c>
    </row>
    <row r="18" spans="1:6" ht="15" customHeight="1" x14ac:dyDescent="0.35">
      <c r="A18" s="70">
        <v>10</v>
      </c>
      <c r="B18" s="71">
        <f t="shared" si="4"/>
        <v>14703876.21470206</v>
      </c>
      <c r="C18" s="71">
        <f t="shared" si="0"/>
        <v>1338052.7355378876</v>
      </c>
      <c r="D18" s="71">
        <f t="shared" si="1"/>
        <v>14703876.214702141</v>
      </c>
      <c r="E18" s="71">
        <f t="shared" si="2"/>
        <v>16041928.950240029</v>
      </c>
      <c r="F18" s="71">
        <f t="shared" si="3"/>
        <v>-8.0093741416931152E-8</v>
      </c>
    </row>
    <row r="19" spans="1:6" ht="15" customHeight="1" x14ac:dyDescent="0.35">
      <c r="A19" s="72" t="s">
        <v>244</v>
      </c>
      <c r="C19" s="34">
        <f>SUM(C9:C18)</f>
        <v>57919289.502400205</v>
      </c>
      <c r="D19" s="34">
        <f>SUM(D9:D18)</f>
        <v>102500000.00000009</v>
      </c>
      <c r="E19" s="34">
        <f>SUM(E9:E18)</f>
        <v>160419289.50240028</v>
      </c>
    </row>
  </sheetData>
  <printOptions horizontalCentered="1"/>
  <pageMargins left="0.5" right="0.5" top="0.75" bottom="0.75" header="0.3" footer="0.3"/>
  <pageSetup fitToHeight="0" orientation="landscape" horizontalDpi="300" verticalDpi="300"/>
  <headerFooter>
    <oddHeader>&amp;C&amp;"Arial,Bold"&amp;10 IDC Capital Budgeting — Loan Schedule</oddHeader>
    <oddFooter>&amp;L&amp;"Arial,Italic"&amp;9 Confidential&amp;R&amp;"Arial,Regular"&amp;9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  <pageSetUpPr fitToPage="1"/>
  </sheetPr>
  <dimension ref="A1:L1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17" sqref="K17"/>
    </sheetView>
  </sheetViews>
  <sheetFormatPr defaultColWidth="8.6328125" defaultRowHeight="14.5" x14ac:dyDescent="0.35"/>
  <cols>
    <col min="1" max="1" width="38" customWidth="1"/>
    <col min="2" max="12" width="16" customWidth="1"/>
  </cols>
  <sheetData>
    <row r="1" spans="1:12" ht="15" customHeight="1" x14ac:dyDescent="0.35">
      <c r="A1" s="4" t="s">
        <v>291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 x14ac:dyDescent="0.35">
      <c r="B2" s="17" t="s">
        <v>246</v>
      </c>
      <c r="C2" s="17" t="s">
        <v>247</v>
      </c>
      <c r="D2" s="17" t="s">
        <v>248</v>
      </c>
      <c r="E2" s="17" t="s">
        <v>249</v>
      </c>
      <c r="F2" s="17" t="s">
        <v>250</v>
      </c>
      <c r="G2" s="17" t="s">
        <v>251</v>
      </c>
      <c r="H2" s="17" t="s">
        <v>252</v>
      </c>
      <c r="I2" s="17" t="s">
        <v>253</v>
      </c>
      <c r="J2" s="17" t="s">
        <v>254</v>
      </c>
      <c r="K2" s="17" t="s">
        <v>255</v>
      </c>
      <c r="L2" s="17" t="s">
        <v>256</v>
      </c>
    </row>
    <row r="3" spans="1:12" ht="15" customHeight="1" x14ac:dyDescent="0.35">
      <c r="B3" s="73">
        <v>2022</v>
      </c>
      <c r="C3" s="73">
        <v>2023</v>
      </c>
      <c r="D3" s="73">
        <v>2024</v>
      </c>
      <c r="E3" s="73">
        <v>2025</v>
      </c>
      <c r="F3" s="73">
        <v>2026</v>
      </c>
      <c r="G3" s="73">
        <v>2027</v>
      </c>
      <c r="H3" s="73">
        <v>2028</v>
      </c>
      <c r="I3" s="73">
        <v>2029</v>
      </c>
      <c r="J3" s="73">
        <v>2030</v>
      </c>
      <c r="K3" s="73">
        <v>2031</v>
      </c>
      <c r="L3" s="73">
        <v>2032</v>
      </c>
    </row>
    <row r="5" spans="1:12" ht="15" customHeight="1" x14ac:dyDescent="0.35">
      <c r="A5" s="3" t="s">
        <v>292</v>
      </c>
      <c r="B5" s="61">
        <f>Assumptions!$B$43</f>
        <v>100000000</v>
      </c>
      <c r="C5" s="61">
        <f>Assumptions!$B$43</f>
        <v>100000000</v>
      </c>
      <c r="D5" s="61">
        <f>Assumptions!$B$43</f>
        <v>100000000</v>
      </c>
      <c r="E5" s="61">
        <f>Assumptions!$B$43</f>
        <v>100000000</v>
      </c>
      <c r="F5" s="61">
        <f>Assumptions!$B$43</f>
        <v>100000000</v>
      </c>
      <c r="G5" s="61">
        <f>Assumptions!$B$43</f>
        <v>100000000</v>
      </c>
      <c r="H5" s="61">
        <f>Assumptions!$B$43</f>
        <v>100000000</v>
      </c>
      <c r="I5" s="61">
        <f>Assumptions!$B$43</f>
        <v>100000000</v>
      </c>
      <c r="J5" s="61">
        <f>Assumptions!$B$43</f>
        <v>100000000</v>
      </c>
      <c r="K5" s="61">
        <f>Assumptions!$B$43</f>
        <v>100000000</v>
      </c>
      <c r="L5" s="61">
        <f>Assumptions!$B$43</f>
        <v>100000000</v>
      </c>
    </row>
    <row r="6" spans="1:12" ht="15" customHeight="1" x14ac:dyDescent="0.35">
      <c r="A6" s="3" t="s">
        <v>293</v>
      </c>
      <c r="B6" s="61">
        <f>Assumptions!$B$44</f>
        <v>2500000</v>
      </c>
      <c r="C6" s="62">
        <f>B6*(1+Assumptions!$B$5)</f>
        <v>2635000</v>
      </c>
      <c r="D6" s="62">
        <f>C6*(1+Assumptions!$B$5)</f>
        <v>2777290</v>
      </c>
      <c r="E6" s="62">
        <f>D6*(1+Assumptions!$B$5)</f>
        <v>2927263.66</v>
      </c>
      <c r="F6" s="62">
        <f>E6*(1+Assumptions!$B$5)</f>
        <v>3085335.8976400001</v>
      </c>
      <c r="G6" s="62">
        <f>F6*(1+Assumptions!$B$5)</f>
        <v>3251944.0361125604</v>
      </c>
      <c r="H6" s="62">
        <f>G6*(1+Assumptions!$B$6)</f>
        <v>3349502.3571959375</v>
      </c>
      <c r="I6" s="62">
        <f>H6*(1+Assumptions!$B$6)</f>
        <v>3449987.4279118157</v>
      </c>
      <c r="J6" s="62">
        <f>I6*(1+Assumptions!$B$6)</f>
        <v>3553487.0507491701</v>
      </c>
      <c r="K6" s="62">
        <f>J6*(1+Assumptions!$B$6)</f>
        <v>3660091.6622716454</v>
      </c>
      <c r="L6" s="62">
        <f>K6*(1+Assumptions!$B$6)</f>
        <v>3769894.4121397948</v>
      </c>
    </row>
    <row r="7" spans="1:12" ht="15" customHeight="1" x14ac:dyDescent="0.35">
      <c r="A7" s="3" t="s">
        <v>294</v>
      </c>
      <c r="B7" s="62">
        <v>0</v>
      </c>
      <c r="C7" s="62">
        <f>'P&amp;L and FCF'!C9*Assumptions!$B$45/Assumptions!$B$47</f>
        <v>275000000</v>
      </c>
      <c r="D7" s="62">
        <f>'P&amp;L and FCF'!D9*Assumptions!$B$45/Assumptions!$B$47</f>
        <v>289850000.00000006</v>
      </c>
      <c r="E7" s="62">
        <f>'P&amp;L and FCF'!E9*Assumptions!$B$45/Assumptions!$B$47</f>
        <v>305501900.00000006</v>
      </c>
      <c r="F7" s="62">
        <f>'P&amp;L and FCF'!F9*Assumptions!$B$45/Assumptions!$B$47</f>
        <v>321999002.60000002</v>
      </c>
      <c r="G7" s="62">
        <f>'P&amp;L and FCF'!G9*Assumptions!$B$45/Assumptions!$B$47</f>
        <v>339386948.74040002</v>
      </c>
      <c r="H7" s="62">
        <f>'P&amp;L and FCF'!H9*Assumptions!$B$45/Assumptions!$B$47</f>
        <v>349568557.20261204</v>
      </c>
      <c r="I7" s="62">
        <f>'P&amp;L and FCF'!I9*Assumptions!$B$45/Assumptions!$B$47</f>
        <v>360055613.91869044</v>
      </c>
      <c r="J7" s="62">
        <f>'P&amp;L and FCF'!J9*Assumptions!$B$45/Assumptions!$B$47</f>
        <v>370857282.3362512</v>
      </c>
      <c r="K7" s="62">
        <f>'P&amp;L and FCF'!K9*Assumptions!$B$45/Assumptions!$B$47</f>
        <v>381983000.80633867</v>
      </c>
      <c r="L7" s="62">
        <f>'P&amp;L and FCF'!L9*Assumptions!$B$45/Assumptions!$B$47</f>
        <v>393442490.83052891</v>
      </c>
    </row>
    <row r="8" spans="1:12" ht="15" customHeight="1" x14ac:dyDescent="0.35">
      <c r="A8" s="3" t="s">
        <v>295</v>
      </c>
      <c r="B8" s="62">
        <v>0</v>
      </c>
      <c r="C8" s="62">
        <f>('P&amp;L and FCF'!C13+'P&amp;L and FCF'!C15+'P&amp;L and FCF'!C17)*Assumptions!$B$46/Assumptions!$B$47</f>
        <v>105750599.40000001</v>
      </c>
      <c r="D8" s="62">
        <f>('P&amp;L and FCF'!D13+'P&amp;L and FCF'!D15+'P&amp;L and FCF'!D17)*Assumptions!$B$46/Assumptions!$B$47</f>
        <v>111461131.7676</v>
      </c>
      <c r="E8" s="62">
        <f>('P&amp;L and FCF'!E13+'P&amp;L and FCF'!E15+'P&amp;L and FCF'!E17)*Assumptions!$B$46/Assumptions!$B$47</f>
        <v>117480032.88305041</v>
      </c>
      <c r="F8" s="62">
        <f>('P&amp;L and FCF'!F13+'P&amp;L and FCF'!F15+'P&amp;L and FCF'!F17)*Assumptions!$B$46/Assumptions!$B$47</f>
        <v>123823954.65873511</v>
      </c>
      <c r="G8" s="62">
        <f>('P&amp;L and FCF'!G13+'P&amp;L and FCF'!G15+'P&amp;L and FCF'!G17)*Assumptions!$B$46/Assumptions!$B$47</f>
        <v>130510448.21030682</v>
      </c>
      <c r="H8" s="62">
        <f>('P&amp;L and FCF'!H13+'P&amp;L and FCF'!H15+'P&amp;L and FCF'!H17)*Assumptions!$B$46/Assumptions!$B$47</f>
        <v>134425761.65661603</v>
      </c>
      <c r="I8" s="62">
        <f>('P&amp;L and FCF'!I13+'P&amp;L and FCF'!I15+'P&amp;L and FCF'!I17)*Assumptions!$B$46/Assumptions!$B$47</f>
        <v>138458534.50631452</v>
      </c>
      <c r="J8" s="62">
        <f>('P&amp;L and FCF'!J13+'P&amp;L and FCF'!J15+'P&amp;L and FCF'!J17)*Assumptions!$B$46/Assumptions!$B$47</f>
        <v>142612290.54150394</v>
      </c>
      <c r="K8" s="62">
        <f>('P&amp;L and FCF'!K13+'P&amp;L and FCF'!K15+'P&amp;L and FCF'!K17)*Assumptions!$B$46/Assumptions!$B$47</f>
        <v>146890659.25774908</v>
      </c>
      <c r="L8" s="62">
        <f>('P&amp;L and FCF'!L13+'P&amp;L and FCF'!L15+'P&amp;L and FCF'!L17)*Assumptions!$B$46/Assumptions!$B$47</f>
        <v>151297379.03548157</v>
      </c>
    </row>
    <row r="9" spans="1:12" ht="15" customHeight="1" x14ac:dyDescent="0.35">
      <c r="A9" s="89" t="s">
        <v>296</v>
      </c>
      <c r="B9" s="90">
        <f t="shared" ref="B9:L9" si="0">B5+B6+B7-B8</f>
        <v>102500000</v>
      </c>
      <c r="C9" s="90">
        <f t="shared" si="0"/>
        <v>271884400.60000002</v>
      </c>
      <c r="D9" s="90">
        <f t="shared" si="0"/>
        <v>281166158.23240006</v>
      </c>
      <c r="E9" s="90">
        <f t="shared" si="0"/>
        <v>290949130.77694964</v>
      </c>
      <c r="F9" s="90">
        <f t="shared" si="0"/>
        <v>301260383.83890492</v>
      </c>
      <c r="G9" s="90">
        <f t="shared" si="0"/>
        <v>312128444.56620574</v>
      </c>
      <c r="H9" s="90">
        <f t="shared" si="0"/>
        <v>318492297.90319198</v>
      </c>
      <c r="I9" s="90">
        <f t="shared" si="0"/>
        <v>325047066.84028774</v>
      </c>
      <c r="J9" s="90">
        <f t="shared" si="0"/>
        <v>331798478.84549642</v>
      </c>
      <c r="K9" s="90">
        <f t="shared" si="0"/>
        <v>338752433.21086121</v>
      </c>
      <c r="L9" s="90">
        <f t="shared" si="0"/>
        <v>345915006.20718712</v>
      </c>
    </row>
    <row r="11" spans="1:12" ht="15" customHeight="1" x14ac:dyDescent="0.35">
      <c r="A11" s="91" t="s">
        <v>297</v>
      </c>
      <c r="B11" s="92">
        <f>B9</f>
        <v>102500000</v>
      </c>
      <c r="C11" s="92">
        <f t="shared" ref="C11:L11" si="1">C9-B9</f>
        <v>169384400.60000002</v>
      </c>
      <c r="D11" s="92">
        <f t="shared" si="1"/>
        <v>9281757.6324000359</v>
      </c>
      <c r="E11" s="92">
        <f t="shared" si="1"/>
        <v>9782972.5445495844</v>
      </c>
      <c r="F11" s="92">
        <f t="shared" si="1"/>
        <v>10311253.061955273</v>
      </c>
      <c r="G11" s="92">
        <f t="shared" si="1"/>
        <v>10868060.727300823</v>
      </c>
      <c r="H11" s="92">
        <f t="shared" si="1"/>
        <v>6363853.3369862437</v>
      </c>
      <c r="I11" s="92">
        <f t="shared" si="1"/>
        <v>6554768.9370957613</v>
      </c>
      <c r="J11" s="92">
        <f t="shared" si="1"/>
        <v>6751412.0052086711</v>
      </c>
      <c r="K11" s="92">
        <f t="shared" si="1"/>
        <v>6953954.36536479</v>
      </c>
      <c r="L11" s="92">
        <f t="shared" si="1"/>
        <v>7162572.9963259101</v>
      </c>
    </row>
  </sheetData>
  <printOptions horizontalCentered="1"/>
  <pageMargins left="0.5" right="0.5" top="0.75" bottom="0.75" header="0.3" footer="0.3"/>
  <pageSetup fitToHeight="0" orientation="landscape" horizontalDpi="300" verticalDpi="300"/>
  <headerFooter>
    <oddHeader>&amp;C&amp;"Arial,Bold"&amp;10 IDC Capital Budgeting — Working Capital</oddHeader>
    <oddFooter>&amp;L&amp;"Arial,Italic"&amp;9 Confidential&amp;R&amp;"Arial,Regular"&amp;9 Page &amp;P of 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  <pageSetUpPr fitToPage="1"/>
  </sheetPr>
  <dimension ref="A1:L45"/>
  <sheetViews>
    <sheetView showGridLines="0" zoomScaleNormal="100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C18" sqref="C18"/>
    </sheetView>
  </sheetViews>
  <sheetFormatPr defaultColWidth="8.6328125" defaultRowHeight="14.5" x14ac:dyDescent="0.35"/>
  <cols>
    <col min="1" max="1" width="44" customWidth="1"/>
    <col min="2" max="12" width="16" customWidth="1"/>
  </cols>
  <sheetData>
    <row r="1" spans="1:12" ht="15" customHeight="1" x14ac:dyDescent="0.35">
      <c r="A1" s="4" t="s">
        <v>245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 x14ac:dyDescent="0.35">
      <c r="B2" s="17" t="s">
        <v>246</v>
      </c>
      <c r="C2" s="17" t="s">
        <v>247</v>
      </c>
      <c r="D2" s="17" t="s">
        <v>248</v>
      </c>
      <c r="E2" s="17" t="s">
        <v>249</v>
      </c>
      <c r="F2" s="17" t="s">
        <v>250</v>
      </c>
      <c r="G2" s="17" t="s">
        <v>251</v>
      </c>
      <c r="H2" s="17" t="s">
        <v>252</v>
      </c>
      <c r="I2" s="17" t="s">
        <v>253</v>
      </c>
      <c r="J2" s="17" t="s">
        <v>254</v>
      </c>
      <c r="K2" s="17" t="s">
        <v>255</v>
      </c>
      <c r="L2" s="17" t="s">
        <v>256</v>
      </c>
    </row>
    <row r="3" spans="1:12" ht="15" customHeight="1" x14ac:dyDescent="0.35">
      <c r="B3" s="73">
        <v>2022</v>
      </c>
      <c r="C3" s="73">
        <v>2023</v>
      </c>
      <c r="D3" s="73">
        <v>2024</v>
      </c>
      <c r="E3" s="73">
        <v>2025</v>
      </c>
      <c r="F3" s="73">
        <v>2026</v>
      </c>
      <c r="G3" s="73">
        <v>2027</v>
      </c>
      <c r="H3" s="73">
        <v>2028</v>
      </c>
      <c r="I3" s="73">
        <v>2029</v>
      </c>
      <c r="J3" s="73">
        <v>2030</v>
      </c>
      <c r="K3" s="73">
        <v>2031</v>
      </c>
      <c r="L3" s="73">
        <v>2032</v>
      </c>
    </row>
    <row r="4" spans="1:12" ht="15" customHeight="1" x14ac:dyDescent="0.35">
      <c r="A4" s="74" t="s">
        <v>257</v>
      </c>
      <c r="B4" s="6">
        <v>1</v>
      </c>
      <c r="C4" s="6">
        <v>1</v>
      </c>
      <c r="D4" s="75">
        <f>C4*(1+Assumptions!$B$5)</f>
        <v>1.054</v>
      </c>
      <c r="E4" s="75">
        <f>D4*(1+Assumptions!$B$5)</f>
        <v>1.110916</v>
      </c>
      <c r="F4" s="75">
        <f>E4*(1+Assumptions!$B$5)</f>
        <v>1.1709054640000001</v>
      </c>
      <c r="G4" s="75">
        <f>F4*(1+Assumptions!$B$5)</f>
        <v>1.2341343590560001</v>
      </c>
      <c r="H4" s="75">
        <f>G4*(1+Assumptions!$B$6)</f>
        <v>1.2711583898276801</v>
      </c>
      <c r="I4" s="75">
        <f>H4*(1+Assumptions!$B$6)</f>
        <v>1.3092931415225106</v>
      </c>
      <c r="J4" s="75">
        <f>I4*(1+Assumptions!$B$6)</f>
        <v>1.348571935768186</v>
      </c>
      <c r="K4" s="75">
        <f>J4*(1+Assumptions!$B$6)</f>
        <v>1.3890290938412315</v>
      </c>
      <c r="L4" s="75">
        <f>K4*(1+Assumptions!$B$6)</f>
        <v>1.4306999666564686</v>
      </c>
    </row>
    <row r="6" spans="1:12" ht="15" customHeight="1" x14ac:dyDescent="0.35">
      <c r="A6" s="60" t="s">
        <v>258</v>
      </c>
    </row>
    <row r="7" spans="1:12" ht="15" customHeight="1" x14ac:dyDescent="0.35">
      <c r="A7" s="3" t="s">
        <v>259</v>
      </c>
      <c r="C7" s="61">
        <f>Assumptions!$B$9</f>
        <v>3000000</v>
      </c>
      <c r="D7" s="61">
        <f>Assumptions!$B$9</f>
        <v>3000000</v>
      </c>
      <c r="E7" s="61">
        <f>Assumptions!$B$9</f>
        <v>3000000</v>
      </c>
      <c r="F7" s="61">
        <f>Assumptions!$B$9</f>
        <v>3000000</v>
      </c>
      <c r="G7" s="61">
        <f>Assumptions!$B$9</f>
        <v>3000000</v>
      </c>
      <c r="H7" s="61">
        <f>Assumptions!$B$9</f>
        <v>3000000</v>
      </c>
      <c r="I7" s="61">
        <f>Assumptions!$B$9</f>
        <v>3000000</v>
      </c>
      <c r="J7" s="61">
        <f>Assumptions!$B$9</f>
        <v>3000000</v>
      </c>
      <c r="K7" s="61">
        <f>Assumptions!$B$9</f>
        <v>3000000</v>
      </c>
      <c r="L7" s="61">
        <f>Assumptions!$B$9</f>
        <v>3000000</v>
      </c>
    </row>
    <row r="8" spans="1:12" ht="15" customHeight="1" x14ac:dyDescent="0.35">
      <c r="A8" s="3" t="s">
        <v>260</v>
      </c>
      <c r="C8" s="76">
        <f>Assumptions!$B$10</f>
        <v>550</v>
      </c>
      <c r="D8" s="77">
        <f>C8*(1+Assumptions!$B$5)</f>
        <v>579.70000000000005</v>
      </c>
      <c r="E8" s="77">
        <f>D8*(1+Assumptions!$B$5)</f>
        <v>611.00380000000007</v>
      </c>
      <c r="F8" s="77">
        <f>E8*(1+Assumptions!$B$5)</f>
        <v>643.99800520000008</v>
      </c>
      <c r="G8" s="77">
        <f>F8*(1+Assumptions!$B$5)</f>
        <v>678.77389748080009</v>
      </c>
      <c r="H8" s="77">
        <f>G8*(1+Assumptions!$B$6)</f>
        <v>699.13711440522411</v>
      </c>
      <c r="I8" s="77">
        <f>H8*(1+Assumptions!$B$6)</f>
        <v>720.11122783738085</v>
      </c>
      <c r="J8" s="77">
        <f>I8*(1+Assumptions!$B$6)</f>
        <v>741.71456467250232</v>
      </c>
      <c r="K8" s="77">
        <f>J8*(1+Assumptions!$B$6)</f>
        <v>763.96600161267736</v>
      </c>
      <c r="L8" s="77">
        <f>K8*(1+Assumptions!$B$6)</f>
        <v>786.88498166105774</v>
      </c>
    </row>
    <row r="9" spans="1:12" ht="15" customHeight="1" x14ac:dyDescent="0.35">
      <c r="A9" s="78" t="s">
        <v>261</v>
      </c>
      <c r="C9" s="79">
        <f t="shared" ref="C9:L9" si="0">C7*C8</f>
        <v>1650000000</v>
      </c>
      <c r="D9" s="79">
        <f t="shared" si="0"/>
        <v>1739100000.0000002</v>
      </c>
      <c r="E9" s="79">
        <f t="shared" si="0"/>
        <v>1833011400.0000002</v>
      </c>
      <c r="F9" s="79">
        <f t="shared" si="0"/>
        <v>1931994015.6000001</v>
      </c>
      <c r="G9" s="79">
        <f t="shared" si="0"/>
        <v>2036321692.4424002</v>
      </c>
      <c r="H9" s="79">
        <f t="shared" si="0"/>
        <v>2097411343.2156723</v>
      </c>
      <c r="I9" s="79">
        <f t="shared" si="0"/>
        <v>2160333683.5121427</v>
      </c>
      <c r="J9" s="79">
        <f t="shared" si="0"/>
        <v>2225143694.0175071</v>
      </c>
      <c r="K9" s="79">
        <f t="shared" si="0"/>
        <v>2291898004.8380322</v>
      </c>
      <c r="L9" s="79">
        <f t="shared" si="0"/>
        <v>2360654944.9831734</v>
      </c>
    </row>
    <row r="11" spans="1:12" ht="15" customHeight="1" x14ac:dyDescent="0.35">
      <c r="A11" s="60" t="s">
        <v>262</v>
      </c>
    </row>
    <row r="12" spans="1:12" ht="15" customHeight="1" x14ac:dyDescent="0.35">
      <c r="A12" s="28" t="s">
        <v>263</v>
      </c>
      <c r="C12" s="80">
        <f>Assumptions!$B$11</f>
        <v>250</v>
      </c>
      <c r="D12" s="81">
        <f>C12*(1+Assumptions!$B$5)</f>
        <v>263.5</v>
      </c>
      <c r="E12" s="81">
        <f>D12*(1+Assumptions!$B$5)</f>
        <v>277.72899999999998</v>
      </c>
      <c r="F12" s="81">
        <f>E12*(1+Assumptions!$B$5)</f>
        <v>292.72636599999998</v>
      </c>
      <c r="G12" s="81">
        <f>F12*(1+Assumptions!$B$5)</f>
        <v>308.533589764</v>
      </c>
      <c r="H12" s="81">
        <f>G12*(1+Assumptions!$B$6)</f>
        <v>317.78959745692003</v>
      </c>
      <c r="I12" s="81">
        <f>H12*(1+Assumptions!$B$6)</f>
        <v>327.32328538062762</v>
      </c>
      <c r="J12" s="81">
        <f>I12*(1+Assumptions!$B$6)</f>
        <v>337.14298394204644</v>
      </c>
      <c r="K12" s="81">
        <f>J12*(1+Assumptions!$B$6)</f>
        <v>347.25727346030783</v>
      </c>
      <c r="L12" s="81">
        <f>K12*(1+Assumptions!$B$6)</f>
        <v>357.6749916641171</v>
      </c>
    </row>
    <row r="13" spans="1:12" ht="15" customHeight="1" x14ac:dyDescent="0.35">
      <c r="A13" s="3" t="s">
        <v>264</v>
      </c>
      <c r="C13" s="62">
        <f t="shared" ref="C13:L13" si="1">C7*C12</f>
        <v>750000000</v>
      </c>
      <c r="D13" s="62">
        <f t="shared" si="1"/>
        <v>790500000</v>
      </c>
      <c r="E13" s="62">
        <f t="shared" si="1"/>
        <v>833187000</v>
      </c>
      <c r="F13" s="62">
        <f t="shared" si="1"/>
        <v>878179098</v>
      </c>
      <c r="G13" s="62">
        <f t="shared" si="1"/>
        <v>925600769.29199994</v>
      </c>
      <c r="H13" s="62">
        <f t="shared" si="1"/>
        <v>953368792.37076008</v>
      </c>
      <c r="I13" s="62">
        <f t="shared" si="1"/>
        <v>981969856.1418829</v>
      </c>
      <c r="J13" s="62">
        <f t="shared" si="1"/>
        <v>1011428951.8261393</v>
      </c>
      <c r="K13" s="62">
        <f t="shared" si="1"/>
        <v>1041771820.3809235</v>
      </c>
      <c r="L13" s="62">
        <f t="shared" si="1"/>
        <v>1073024974.9923513</v>
      </c>
    </row>
    <row r="14" spans="1:12" ht="15" customHeight="1" x14ac:dyDescent="0.35">
      <c r="A14" s="28" t="s">
        <v>265</v>
      </c>
      <c r="C14" s="80">
        <f>Assumptions!$B$12</f>
        <v>30</v>
      </c>
      <c r="D14" s="81">
        <f>C14*(1+Assumptions!$B$5)</f>
        <v>31.62</v>
      </c>
      <c r="E14" s="81">
        <f>D14*(1+Assumptions!$B$5)</f>
        <v>33.327480000000001</v>
      </c>
      <c r="F14" s="81">
        <f>E14*(1+Assumptions!$B$5)</f>
        <v>35.127163920000001</v>
      </c>
      <c r="G14" s="81">
        <f>F14*(1+Assumptions!$B$5)</f>
        <v>37.024030771680003</v>
      </c>
      <c r="H14" s="81">
        <f>G14*(1+Assumptions!$B$6)</f>
        <v>38.134751694830406</v>
      </c>
      <c r="I14" s="81">
        <f>H14*(1+Assumptions!$B$6)</f>
        <v>39.278794245675321</v>
      </c>
      <c r="J14" s="81">
        <f>I14*(1+Assumptions!$B$6)</f>
        <v>40.457158073045584</v>
      </c>
      <c r="K14" s="81">
        <f>J14*(1+Assumptions!$B$6)</f>
        <v>41.670872815236955</v>
      </c>
      <c r="L14" s="81">
        <f>K14*(1+Assumptions!$B$6)</f>
        <v>42.920998999694064</v>
      </c>
    </row>
    <row r="15" spans="1:12" ht="15" customHeight="1" x14ac:dyDescent="0.35">
      <c r="A15" s="3" t="s">
        <v>266</v>
      </c>
      <c r="C15" s="62">
        <f t="shared" ref="C15:L15" si="2">C7*C14</f>
        <v>90000000</v>
      </c>
      <c r="D15" s="62">
        <f t="shared" si="2"/>
        <v>94860000</v>
      </c>
      <c r="E15" s="62">
        <f t="shared" si="2"/>
        <v>99982440</v>
      </c>
      <c r="F15" s="62">
        <f t="shared" si="2"/>
        <v>105381491.76000001</v>
      </c>
      <c r="G15" s="62">
        <f t="shared" si="2"/>
        <v>111072092.31504001</v>
      </c>
      <c r="H15" s="62">
        <f t="shared" si="2"/>
        <v>114404255.08449122</v>
      </c>
      <c r="I15" s="62">
        <f t="shared" si="2"/>
        <v>117836382.73702596</v>
      </c>
      <c r="J15" s="62">
        <f t="shared" si="2"/>
        <v>121371474.21913674</v>
      </c>
      <c r="K15" s="62">
        <f t="shared" si="2"/>
        <v>125012618.44571087</v>
      </c>
      <c r="L15" s="62">
        <f t="shared" si="2"/>
        <v>128762996.99908219</v>
      </c>
    </row>
    <row r="16" spans="1:12" ht="15" customHeight="1" x14ac:dyDescent="0.35">
      <c r="A16" s="28" t="s">
        <v>267</v>
      </c>
      <c r="C16" s="80">
        <f>Assumptions!$B$14</f>
        <v>55.7</v>
      </c>
      <c r="D16" s="81">
        <f>C16*(1+Assumptions!$B$5)</f>
        <v>58.707800000000006</v>
      </c>
      <c r="E16" s="81">
        <f>D16*(1+Assumptions!$B$5)</f>
        <v>61.878021200000006</v>
      </c>
      <c r="F16" s="81">
        <f>E16*(1+Assumptions!$B$5)</f>
        <v>65.219434344800007</v>
      </c>
      <c r="G16" s="81">
        <f>F16*(1+Assumptions!$B$5)</f>
        <v>68.741283799419207</v>
      </c>
      <c r="H16" s="81">
        <f>G16*(1+Assumptions!$B$6)</f>
        <v>70.803522313401785</v>
      </c>
      <c r="I16" s="81">
        <f>H16*(1+Assumptions!$B$6)</f>
        <v>72.927627982803841</v>
      </c>
      <c r="J16" s="81">
        <f>I16*(1+Assumptions!$B$6)</f>
        <v>75.115456822287953</v>
      </c>
      <c r="K16" s="81">
        <f>J16*(1+Assumptions!$B$6)</f>
        <v>77.3689205269566</v>
      </c>
      <c r="L16" s="81">
        <f>K16*(1+Assumptions!$B$6)</f>
        <v>79.689988142765301</v>
      </c>
    </row>
    <row r="17" spans="1:12" ht="15" customHeight="1" x14ac:dyDescent="0.35">
      <c r="A17" s="3" t="s">
        <v>268</v>
      </c>
      <c r="C17" s="62">
        <f>Assumptions!$B$13*12*C16</f>
        <v>429007192.80000001</v>
      </c>
      <c r="D17" s="62">
        <f>Assumptions!$B$13*12*D16</f>
        <v>452173581.21120006</v>
      </c>
      <c r="E17" s="62">
        <f>Assumptions!$B$13*12*E16</f>
        <v>476590954.59660482</v>
      </c>
      <c r="F17" s="62">
        <f>Assumptions!$B$13*12*F16</f>
        <v>502326866.14482152</v>
      </c>
      <c r="G17" s="62">
        <f>Assumptions!$B$13*12*G16</f>
        <v>529452516.91664189</v>
      </c>
      <c r="H17" s="62">
        <f>Assumptions!$B$13*12*H16</f>
        <v>545336092.42414117</v>
      </c>
      <c r="I17" s="62">
        <f>Assumptions!$B$13*12*I16</f>
        <v>561696175.19686544</v>
      </c>
      <c r="J17" s="62">
        <f>Assumptions!$B$13*12*J16</f>
        <v>578547060.45277131</v>
      </c>
      <c r="K17" s="62">
        <f>Assumptions!$B$13*12*K16</f>
        <v>595903472.26635456</v>
      </c>
      <c r="L17" s="62">
        <f>Assumptions!$B$13*12*L16</f>
        <v>613780576.43434525</v>
      </c>
    </row>
    <row r="18" spans="1:12" ht="15" customHeight="1" x14ac:dyDescent="0.35">
      <c r="A18" s="3" t="s">
        <v>269</v>
      </c>
      <c r="C18" s="61">
        <f>Assumptions!$B$15*12</f>
        <v>30000000</v>
      </c>
      <c r="D18" s="62">
        <f>C18*(1+Assumptions!$B$5)</f>
        <v>31620000</v>
      </c>
      <c r="E18" s="62">
        <f>D18*(1+Assumptions!$B$5)</f>
        <v>33327480</v>
      </c>
      <c r="F18" s="62">
        <f>E18*(1+Assumptions!$B$5)</f>
        <v>35127163.920000002</v>
      </c>
      <c r="G18" s="62">
        <f>F18*(1+Assumptions!$B$5)</f>
        <v>37024030.771680005</v>
      </c>
      <c r="H18" s="62">
        <f>G18*(1+Assumptions!$B$6)</f>
        <v>38134751.694830403</v>
      </c>
      <c r="I18" s="62">
        <f>H18*(1+Assumptions!$B$6)</f>
        <v>39278794.245675318</v>
      </c>
      <c r="J18" s="62">
        <f>I18*(1+Assumptions!$B$6)</f>
        <v>40457158.073045582</v>
      </c>
      <c r="K18" s="62">
        <f>J18*(1+Assumptions!$B$6)</f>
        <v>41670872.815236948</v>
      </c>
      <c r="L18" s="62">
        <f>K18*(1+Assumptions!$B$6)</f>
        <v>42920998.999694057</v>
      </c>
    </row>
    <row r="19" spans="1:12" ht="15" customHeight="1" x14ac:dyDescent="0.35">
      <c r="A19" s="3" t="s">
        <v>270</v>
      </c>
      <c r="C19" s="61">
        <f>Assumptions!$B$16*12</f>
        <v>18000000</v>
      </c>
      <c r="D19" s="62">
        <f>C19*(1+Assumptions!$B$5)</f>
        <v>18972000</v>
      </c>
      <c r="E19" s="62">
        <f>D19*(1+Assumptions!$B$5)</f>
        <v>19996488</v>
      </c>
      <c r="F19" s="62">
        <f>E19*(1+Assumptions!$B$5)</f>
        <v>21076298.352000002</v>
      </c>
      <c r="G19" s="62">
        <f>F19*(1+Assumptions!$B$5)</f>
        <v>22214418.463008001</v>
      </c>
      <c r="H19" s="62">
        <f>G19*(1+Assumptions!$B$6)</f>
        <v>22880851.016898241</v>
      </c>
      <c r="I19" s="62">
        <f>H19*(1+Assumptions!$B$6)</f>
        <v>23567276.547405187</v>
      </c>
      <c r="J19" s="62">
        <f>I19*(1+Assumptions!$B$6)</f>
        <v>24274294.843827344</v>
      </c>
      <c r="K19" s="62">
        <f>J19*(1+Assumptions!$B$6)</f>
        <v>25002523.689142164</v>
      </c>
      <c r="L19" s="62">
        <f>K19*(1+Assumptions!$B$6)</f>
        <v>25752599.399816431</v>
      </c>
    </row>
    <row r="20" spans="1:12" ht="15" customHeight="1" x14ac:dyDescent="0.35">
      <c r="A20" s="3" t="s">
        <v>147</v>
      </c>
      <c r="C20" s="61">
        <f>Assumptions!$B$22*Assumptions!$B$33</f>
        <v>19050000</v>
      </c>
      <c r="D20" s="62">
        <f>C20*(1+Assumptions!$B$5)</f>
        <v>20078700</v>
      </c>
      <c r="E20" s="62">
        <f>D20*(1+Assumptions!$B$5)</f>
        <v>21162949.800000001</v>
      </c>
      <c r="F20" s="62">
        <f>E20*(1+Assumptions!$B$5)</f>
        <v>22305749.089200001</v>
      </c>
      <c r="G20" s="62">
        <f>F20*(1+Assumptions!$B$5)</f>
        <v>23510259.540016804</v>
      </c>
      <c r="H20" s="62">
        <f>G20*(1+Assumptions!$B$6)</f>
        <v>24215567.326217309</v>
      </c>
      <c r="I20" s="62">
        <f>H20*(1+Assumptions!$B$6)</f>
        <v>24942034.346003827</v>
      </c>
      <c r="J20" s="62">
        <f>I20*(1+Assumptions!$B$6)</f>
        <v>25690295.376383942</v>
      </c>
      <c r="K20" s="62">
        <f>J20*(1+Assumptions!$B$6)</f>
        <v>26461004.237675462</v>
      </c>
      <c r="L20" s="62">
        <f>K20*(1+Assumptions!$B$6)</f>
        <v>27254834.364805728</v>
      </c>
    </row>
    <row r="21" spans="1:12" ht="15" customHeight="1" x14ac:dyDescent="0.35">
      <c r="A21" s="3" t="s">
        <v>150</v>
      </c>
      <c r="C21" s="61">
        <f>(Assumptions!$B$23-Assumptions!$B$24)*Assumptions!$B$34</f>
        <v>840000</v>
      </c>
      <c r="D21" s="62">
        <f>C21*(1+Assumptions!$B$5)</f>
        <v>885360</v>
      </c>
      <c r="E21" s="62">
        <f>D21*(1+Assumptions!$B$5)</f>
        <v>933169.44000000006</v>
      </c>
      <c r="F21" s="62">
        <f>E21*(1+Assumptions!$B$5)</f>
        <v>983560.58976000012</v>
      </c>
      <c r="G21" s="62">
        <f>F21*(1+Assumptions!$B$5)</f>
        <v>1036672.8616070402</v>
      </c>
      <c r="H21" s="62">
        <f>G21*(1+Assumptions!$B$6)</f>
        <v>1067773.0474552514</v>
      </c>
      <c r="I21" s="62">
        <f>H21*(1+Assumptions!$B$6)</f>
        <v>1099806.238878909</v>
      </c>
      <c r="J21" s="62">
        <f>I21*(1+Assumptions!$B$6)</f>
        <v>1132800.4260452762</v>
      </c>
      <c r="K21" s="62">
        <f>J21*(1+Assumptions!$B$6)</f>
        <v>1166784.4388266345</v>
      </c>
      <c r="L21" s="62">
        <f>K21*(1+Assumptions!$B$6)</f>
        <v>1201787.9719914335</v>
      </c>
    </row>
    <row r="22" spans="1:12" ht="15" customHeight="1" x14ac:dyDescent="0.35">
      <c r="A22" s="3" t="s">
        <v>271</v>
      </c>
      <c r="C22" s="61">
        <f>Depreciation!C20*0.5</f>
        <v>2200000</v>
      </c>
      <c r="D22" s="61">
        <f>Depreciation!D20*0.5</f>
        <v>2200000</v>
      </c>
      <c r="E22" s="61">
        <f>Depreciation!E20*0.5</f>
        <v>2200000</v>
      </c>
      <c r="F22" s="61">
        <f>Depreciation!F20*0.5</f>
        <v>2200000</v>
      </c>
      <c r="G22" s="61">
        <f>Depreciation!G20*0.5</f>
        <v>2200000</v>
      </c>
      <c r="H22" s="61">
        <f>Depreciation!H20*0.5</f>
        <v>2200000</v>
      </c>
      <c r="I22" s="61">
        <f>Depreciation!I20*0.5</f>
        <v>2200000</v>
      </c>
      <c r="J22" s="61">
        <f>Depreciation!J20*0.5</f>
        <v>2200000</v>
      </c>
      <c r="K22" s="61">
        <f>Depreciation!K20*0.5</f>
        <v>2200000</v>
      </c>
      <c r="L22" s="61">
        <f>Depreciation!L20*0.5</f>
        <v>2200000</v>
      </c>
    </row>
    <row r="23" spans="1:12" ht="15" customHeight="1" x14ac:dyDescent="0.35">
      <c r="A23" s="3" t="s">
        <v>272</v>
      </c>
      <c r="C23" s="62">
        <f>C9*Assumptions!$B$19</f>
        <v>16500000</v>
      </c>
      <c r="D23" s="62">
        <f>D9*Assumptions!$B$19</f>
        <v>17391000.000000004</v>
      </c>
      <c r="E23" s="62">
        <f>E9*Assumptions!$B$19</f>
        <v>18330114.000000004</v>
      </c>
      <c r="F23" s="62">
        <f>F9*Assumptions!$B$19</f>
        <v>19319940.156000003</v>
      </c>
      <c r="G23" s="62">
        <f>G9*Assumptions!$B$19</f>
        <v>20363216.924424004</v>
      </c>
      <c r="H23" s="62">
        <f>H9*Assumptions!$B$19</f>
        <v>20974113.432156723</v>
      </c>
      <c r="I23" s="62">
        <f>I9*Assumptions!$B$19</f>
        <v>21603336.835121427</v>
      </c>
      <c r="J23" s="62">
        <f>J9*Assumptions!$B$19</f>
        <v>22251436.940175071</v>
      </c>
      <c r="K23" s="62">
        <f>K9*Assumptions!$B$19</f>
        <v>22918980.048380323</v>
      </c>
      <c r="L23" s="62">
        <f>L9*Assumptions!$B$19</f>
        <v>23606549.449831735</v>
      </c>
    </row>
    <row r="24" spans="1:12" ht="15" customHeight="1" x14ac:dyDescent="0.35">
      <c r="A24" s="3" t="s">
        <v>273</v>
      </c>
      <c r="C24" s="62">
        <f>C9*Assumptions!$B$17</f>
        <v>66000000</v>
      </c>
      <c r="D24" s="62">
        <f>D9*Assumptions!$B$17</f>
        <v>69564000.000000015</v>
      </c>
      <c r="E24" s="62">
        <f>E9*Assumptions!$B$17</f>
        <v>73320456.000000015</v>
      </c>
      <c r="F24" s="62">
        <f>F9*Assumptions!$B$17</f>
        <v>77279760.624000013</v>
      </c>
      <c r="G24" s="62">
        <f>G9*Assumptions!$B$17</f>
        <v>81452867.697696015</v>
      </c>
      <c r="H24" s="62">
        <f>H9*Assumptions!$B$17</f>
        <v>83896453.728626892</v>
      </c>
      <c r="I24" s="62">
        <f>I9*Assumptions!$B$17</f>
        <v>86413347.340485707</v>
      </c>
      <c r="J24" s="62">
        <f>J9*Assumptions!$B$17</f>
        <v>89005747.760700285</v>
      </c>
      <c r="K24" s="62">
        <f>K9*Assumptions!$B$17</f>
        <v>91675920.193521291</v>
      </c>
      <c r="L24" s="62">
        <f>L9*Assumptions!$B$17</f>
        <v>94426197.799326941</v>
      </c>
    </row>
    <row r="25" spans="1:12" ht="15" customHeight="1" x14ac:dyDescent="0.35">
      <c r="A25" s="3" t="s">
        <v>274</v>
      </c>
      <c r="C25" s="62">
        <f>C9*Assumptions!$B$18</f>
        <v>16500000</v>
      </c>
      <c r="D25" s="62">
        <f>D9*Assumptions!$B$18</f>
        <v>17391000.000000004</v>
      </c>
      <c r="E25" s="62">
        <f>E9*Assumptions!$B$18</f>
        <v>18330114.000000004</v>
      </c>
      <c r="F25" s="62">
        <f>F9*Assumptions!$B$18</f>
        <v>19319940.156000003</v>
      </c>
      <c r="G25" s="62">
        <f>G9*Assumptions!$B$18</f>
        <v>20363216.924424004</v>
      </c>
      <c r="H25" s="62">
        <f>H9*Assumptions!$B$18</f>
        <v>20974113.432156723</v>
      </c>
      <c r="I25" s="62">
        <f>I9*Assumptions!$B$18</f>
        <v>21603336.835121427</v>
      </c>
      <c r="J25" s="62">
        <f>J9*Assumptions!$B$18</f>
        <v>22251436.940175071</v>
      </c>
      <c r="K25" s="62">
        <f>K9*Assumptions!$B$18</f>
        <v>22918980.048380323</v>
      </c>
      <c r="L25" s="62">
        <f>L9*Assumptions!$B$18</f>
        <v>23606549.449831735</v>
      </c>
    </row>
    <row r="26" spans="1:12" ht="15" customHeight="1" x14ac:dyDescent="0.35">
      <c r="A26" s="78" t="s">
        <v>275</v>
      </c>
      <c r="C26" s="79">
        <f t="shared" ref="C26:L26" si="3">SUM(C13,C15,C17,C18,C19,C20,C21,C22,C23,C24,C25)</f>
        <v>1438097192.8</v>
      </c>
      <c r="D26" s="79">
        <f t="shared" si="3"/>
        <v>1515635641.2112</v>
      </c>
      <c r="E26" s="79">
        <f t="shared" si="3"/>
        <v>1597361165.8366048</v>
      </c>
      <c r="F26" s="79">
        <f t="shared" si="3"/>
        <v>1683499868.7917814</v>
      </c>
      <c r="G26" s="79">
        <f t="shared" si="3"/>
        <v>1774290061.7065377</v>
      </c>
      <c r="H26" s="79">
        <f t="shared" si="3"/>
        <v>1827452763.5577345</v>
      </c>
      <c r="I26" s="79">
        <f t="shared" si="3"/>
        <v>1882210346.4644661</v>
      </c>
      <c r="J26" s="79">
        <f t="shared" si="3"/>
        <v>1938610656.8583996</v>
      </c>
      <c r="K26" s="79">
        <f t="shared" si="3"/>
        <v>1996702976.5641522</v>
      </c>
      <c r="L26" s="79">
        <f t="shared" si="3"/>
        <v>2056538065.8610768</v>
      </c>
    </row>
    <row r="28" spans="1:12" ht="15" customHeight="1" x14ac:dyDescent="0.35">
      <c r="A28" s="33" t="s">
        <v>276</v>
      </c>
      <c r="C28" s="69">
        <f t="shared" ref="C28:L28" si="4">C9-C26</f>
        <v>211902807.20000005</v>
      </c>
      <c r="D28" s="69">
        <f t="shared" si="4"/>
        <v>223464358.78880024</v>
      </c>
      <c r="E28" s="69">
        <f t="shared" si="4"/>
        <v>235650234.1633954</v>
      </c>
      <c r="F28" s="69">
        <f t="shared" si="4"/>
        <v>248494146.80821872</v>
      </c>
      <c r="G28" s="69">
        <f t="shared" si="4"/>
        <v>262031630.73586249</v>
      </c>
      <c r="H28" s="69">
        <f t="shared" si="4"/>
        <v>269958579.65793777</v>
      </c>
      <c r="I28" s="69">
        <f t="shared" si="4"/>
        <v>278123337.04767656</v>
      </c>
      <c r="J28" s="69">
        <f t="shared" si="4"/>
        <v>286533037.15910745</v>
      </c>
      <c r="K28" s="69">
        <f t="shared" si="4"/>
        <v>295195028.27388</v>
      </c>
      <c r="L28" s="69">
        <f t="shared" si="4"/>
        <v>304116879.12209654</v>
      </c>
    </row>
    <row r="29" spans="1:12" ht="15" customHeight="1" x14ac:dyDescent="0.35">
      <c r="A29" s="2" t="s">
        <v>28</v>
      </c>
      <c r="C29" s="82">
        <f>Depreciation!C23</f>
        <v>76256000</v>
      </c>
      <c r="D29" s="82">
        <f>Depreciation!D23</f>
        <v>76256000</v>
      </c>
      <c r="E29" s="82">
        <f>Depreciation!E23</f>
        <v>76256000</v>
      </c>
      <c r="F29" s="82">
        <f>Depreciation!F23</f>
        <v>76256000</v>
      </c>
      <c r="G29" s="82">
        <f>Depreciation!G23</f>
        <v>76256000</v>
      </c>
      <c r="H29" s="82">
        <f>Depreciation!H23</f>
        <v>39680000</v>
      </c>
      <c r="I29" s="82">
        <f>Depreciation!I23</f>
        <v>39680000</v>
      </c>
      <c r="J29" s="82">
        <f>Depreciation!J23</f>
        <v>39680000</v>
      </c>
      <c r="K29" s="82">
        <f>Depreciation!K23</f>
        <v>39680000</v>
      </c>
      <c r="L29" s="82">
        <f>Depreciation!L23</f>
        <v>39680000</v>
      </c>
    </row>
    <row r="30" spans="1:12" ht="15" customHeight="1" x14ac:dyDescent="0.35">
      <c r="A30" s="33" t="s">
        <v>277</v>
      </c>
      <c r="C30" s="69">
        <f t="shared" ref="C30:L30" si="5">C28-C29</f>
        <v>135646807.20000005</v>
      </c>
      <c r="D30" s="69">
        <f t="shared" si="5"/>
        <v>147208358.78880024</v>
      </c>
      <c r="E30" s="69">
        <f t="shared" si="5"/>
        <v>159394234.1633954</v>
      </c>
      <c r="F30" s="69">
        <f t="shared" si="5"/>
        <v>172238146.80821872</v>
      </c>
      <c r="G30" s="69">
        <f t="shared" si="5"/>
        <v>185775630.73586249</v>
      </c>
      <c r="H30" s="69">
        <f t="shared" si="5"/>
        <v>230278579.65793777</v>
      </c>
      <c r="I30" s="69">
        <f t="shared" si="5"/>
        <v>238443337.04767656</v>
      </c>
      <c r="J30" s="69">
        <f t="shared" si="5"/>
        <v>246853037.15910745</v>
      </c>
      <c r="K30" s="69">
        <f t="shared" si="5"/>
        <v>255515028.27388</v>
      </c>
      <c r="L30" s="69">
        <f t="shared" si="5"/>
        <v>264436879.12209654</v>
      </c>
    </row>
    <row r="31" spans="1:12" ht="15" customHeight="1" x14ac:dyDescent="0.35">
      <c r="A31" s="2" t="s">
        <v>278</v>
      </c>
      <c r="C31" s="83">
        <f>MAX(0,C30)*Assumptions!$B$4</f>
        <v>33911701.800000012</v>
      </c>
      <c r="D31" s="83">
        <f>MAX(0,D30)*Assumptions!$B$4</f>
        <v>36802089.69720006</v>
      </c>
      <c r="E31" s="83">
        <f>MAX(0,E30)*Assumptions!$B$4</f>
        <v>39848558.540848851</v>
      </c>
      <c r="F31" s="83">
        <f>MAX(0,F30)*Assumptions!$B$4</f>
        <v>43059536.702054679</v>
      </c>
      <c r="G31" s="83">
        <f>MAX(0,G30)*Assumptions!$B$4</f>
        <v>46443907.683965623</v>
      </c>
      <c r="H31" s="83">
        <f>MAX(0,H30)*Assumptions!$B$4</f>
        <v>57569644.914484441</v>
      </c>
      <c r="I31" s="83">
        <f>MAX(0,I30)*Assumptions!$B$4</f>
        <v>59610834.261919141</v>
      </c>
      <c r="J31" s="83">
        <f>MAX(0,J30)*Assumptions!$B$4</f>
        <v>61713259.289776862</v>
      </c>
      <c r="K31" s="83">
        <f>MAX(0,K30)*Assumptions!$B$4</f>
        <v>63878757.068470001</v>
      </c>
      <c r="L31" s="83">
        <f>MAX(0,L30)*Assumptions!$B$4</f>
        <v>66109219.780524135</v>
      </c>
    </row>
    <row r="32" spans="1:12" ht="15" customHeight="1" x14ac:dyDescent="0.35">
      <c r="A32" s="84" t="s">
        <v>279</v>
      </c>
      <c r="C32" s="85">
        <f t="shared" ref="C32:L32" si="6">C30-C31</f>
        <v>101735105.40000004</v>
      </c>
      <c r="D32" s="85">
        <f t="shared" si="6"/>
        <v>110406269.09160018</v>
      </c>
      <c r="E32" s="85">
        <f t="shared" si="6"/>
        <v>119545675.62254655</v>
      </c>
      <c r="F32" s="85">
        <f t="shared" si="6"/>
        <v>129178610.10616404</v>
      </c>
      <c r="G32" s="85">
        <f t="shared" si="6"/>
        <v>139331723.05189687</v>
      </c>
      <c r="H32" s="85">
        <f t="shared" si="6"/>
        <v>172708934.74345332</v>
      </c>
      <c r="I32" s="85">
        <f t="shared" si="6"/>
        <v>178832502.78575742</v>
      </c>
      <c r="J32" s="85">
        <f t="shared" si="6"/>
        <v>185139777.86933059</v>
      </c>
      <c r="K32" s="85">
        <f t="shared" si="6"/>
        <v>191636271.20541</v>
      </c>
      <c r="L32" s="85">
        <f t="shared" si="6"/>
        <v>198327659.3415724</v>
      </c>
    </row>
    <row r="34" spans="1:12" ht="15" customHeight="1" x14ac:dyDescent="0.35">
      <c r="A34" s="60" t="s">
        <v>280</v>
      </c>
    </row>
    <row r="35" spans="1:12" ht="15" customHeight="1" x14ac:dyDescent="0.35">
      <c r="A35" s="3" t="s">
        <v>281</v>
      </c>
      <c r="C35" s="62">
        <f t="shared" ref="C35:L35" si="7">C32</f>
        <v>101735105.40000004</v>
      </c>
      <c r="D35" s="62">
        <f t="shared" si="7"/>
        <v>110406269.09160018</v>
      </c>
      <c r="E35" s="62">
        <f t="shared" si="7"/>
        <v>119545675.62254655</v>
      </c>
      <c r="F35" s="62">
        <f t="shared" si="7"/>
        <v>129178610.10616404</v>
      </c>
      <c r="G35" s="62">
        <f t="shared" si="7"/>
        <v>139331723.05189687</v>
      </c>
      <c r="H35" s="62">
        <f t="shared" si="7"/>
        <v>172708934.74345332</v>
      </c>
      <c r="I35" s="62">
        <f t="shared" si="7"/>
        <v>178832502.78575742</v>
      </c>
      <c r="J35" s="62">
        <f t="shared" si="7"/>
        <v>185139777.86933059</v>
      </c>
      <c r="K35" s="62">
        <f t="shared" si="7"/>
        <v>191636271.20541</v>
      </c>
      <c r="L35" s="62">
        <f t="shared" si="7"/>
        <v>198327659.3415724</v>
      </c>
    </row>
    <row r="36" spans="1:12" ht="15" customHeight="1" x14ac:dyDescent="0.35">
      <c r="A36" s="3" t="s">
        <v>282</v>
      </c>
      <c r="C36" s="62">
        <f t="shared" ref="C36:L36" si="8">C29</f>
        <v>76256000</v>
      </c>
      <c r="D36" s="62">
        <f t="shared" si="8"/>
        <v>76256000</v>
      </c>
      <c r="E36" s="62">
        <f t="shared" si="8"/>
        <v>76256000</v>
      </c>
      <c r="F36" s="62">
        <f t="shared" si="8"/>
        <v>76256000</v>
      </c>
      <c r="G36" s="62">
        <f t="shared" si="8"/>
        <v>76256000</v>
      </c>
      <c r="H36" s="62">
        <f t="shared" si="8"/>
        <v>39680000</v>
      </c>
      <c r="I36" s="62">
        <f t="shared" si="8"/>
        <v>39680000</v>
      </c>
      <c r="J36" s="62">
        <f t="shared" si="8"/>
        <v>39680000</v>
      </c>
      <c r="K36" s="62">
        <f t="shared" si="8"/>
        <v>39680000</v>
      </c>
      <c r="L36" s="62">
        <f t="shared" si="8"/>
        <v>39680000</v>
      </c>
    </row>
    <row r="37" spans="1:12" ht="15" customHeight="1" x14ac:dyDescent="0.35">
      <c r="A37" s="3" t="s">
        <v>283</v>
      </c>
      <c r="B37" s="62">
        <f>-Assumptions!$B$26</f>
        <v>-479000000</v>
      </c>
      <c r="C37" s="62">
        <v>0</v>
      </c>
      <c r="D37" s="62">
        <v>0</v>
      </c>
      <c r="E37" s="62">
        <v>0</v>
      </c>
      <c r="F37" s="62">
        <v>0</v>
      </c>
      <c r="G37" s="62">
        <f>-Depreciation!G7</f>
        <v>-152400000</v>
      </c>
      <c r="H37" s="62">
        <v>0</v>
      </c>
      <c r="I37" s="62">
        <v>0</v>
      </c>
      <c r="J37" s="62">
        <v>0</v>
      </c>
      <c r="K37" s="62">
        <v>0</v>
      </c>
      <c r="L37" s="62">
        <v>0</v>
      </c>
    </row>
    <row r="38" spans="1:12" ht="15" customHeight="1" x14ac:dyDescent="0.35">
      <c r="A38" s="3" t="s">
        <v>284</v>
      </c>
      <c r="B38" s="61">
        <f>-'Working Capital'!B11</f>
        <v>-102500000</v>
      </c>
      <c r="C38" s="61">
        <f>-'Working Capital'!C11</f>
        <v>-169384400.60000002</v>
      </c>
      <c r="D38" s="61">
        <f>-'Working Capital'!D11</f>
        <v>-9281757.6324000359</v>
      </c>
      <c r="E38" s="61">
        <f>-'Working Capital'!E11</f>
        <v>-9782972.5445495844</v>
      </c>
      <c r="F38" s="61">
        <f>-'Working Capital'!F11</f>
        <v>-10311253.061955273</v>
      </c>
      <c r="G38" s="61">
        <f>-'Working Capital'!G11</f>
        <v>-10868060.727300823</v>
      </c>
      <c r="H38" s="61">
        <f>-'Working Capital'!H11</f>
        <v>-6363853.3369862437</v>
      </c>
      <c r="I38" s="61">
        <f>-'Working Capital'!I11</f>
        <v>-6554768.9370957613</v>
      </c>
      <c r="J38" s="61">
        <f>-'Working Capital'!J11</f>
        <v>-6751412.0052086711</v>
      </c>
      <c r="K38" s="61">
        <f>-'Working Capital'!K11</f>
        <v>-6953954.36536479</v>
      </c>
      <c r="L38" s="61">
        <f>-'Working Capital'!L11</f>
        <v>-7162572.9963259101</v>
      </c>
    </row>
    <row r="39" spans="1:12" ht="15" customHeight="1" x14ac:dyDescent="0.35">
      <c r="A39" s="2" t="s">
        <v>285</v>
      </c>
      <c r="D39" s="112"/>
      <c r="L39" s="32">
        <f>Assumptions!$B$22*Assumptions!$B$27+Assumptions!$B$25*Assumptions!$B$32</f>
        <v>51720000</v>
      </c>
    </row>
    <row r="40" spans="1:12" ht="15" customHeight="1" x14ac:dyDescent="0.35">
      <c r="A40" s="2" t="s">
        <v>286</v>
      </c>
      <c r="L40" s="61">
        <f>'Working Capital'!L8</f>
        <v>151297379.03548157</v>
      </c>
    </row>
    <row r="42" spans="1:12" ht="15" customHeight="1" x14ac:dyDescent="0.35">
      <c r="A42" s="86" t="s">
        <v>287</v>
      </c>
      <c r="B42" s="87">
        <f>B37+B38</f>
        <v>-581500000</v>
      </c>
      <c r="C42" s="87">
        <f t="shared" ref="C42:K42" si="9">C35+C36+C37+C38</f>
        <v>8606704.8000000119</v>
      </c>
      <c r="D42" s="87">
        <f>D35+D36+D37+D38+D39</f>
        <v>177380511.45920014</v>
      </c>
      <c r="E42" s="87">
        <f t="shared" si="9"/>
        <v>186018703.07799697</v>
      </c>
      <c r="F42" s="87">
        <f t="shared" si="9"/>
        <v>195123357.04420877</v>
      </c>
      <c r="G42" s="87">
        <f t="shared" si="9"/>
        <v>52319662.324596047</v>
      </c>
      <c r="H42" s="87">
        <f t="shared" si="9"/>
        <v>206025081.40646708</v>
      </c>
      <c r="I42" s="87">
        <f t="shared" si="9"/>
        <v>211957733.84866166</v>
      </c>
      <c r="J42" s="87">
        <f t="shared" si="9"/>
        <v>218068365.86412191</v>
      </c>
      <c r="K42" s="87">
        <f t="shared" si="9"/>
        <v>224362316.84004521</v>
      </c>
      <c r="L42" s="87">
        <f>L35+L36+L37+L38+L39+L40</f>
        <v>433862465.38072807</v>
      </c>
    </row>
    <row r="43" spans="1:12" ht="15" customHeight="1" x14ac:dyDescent="0.35">
      <c r="A43" s="74" t="s">
        <v>288</v>
      </c>
      <c r="B43" s="88">
        <f>B42</f>
        <v>-581500000</v>
      </c>
      <c r="C43" s="88">
        <f t="shared" ref="C43:L43" si="10">B43+C42</f>
        <v>-572893295.20000005</v>
      </c>
      <c r="D43" s="88">
        <f t="shared" si="10"/>
        <v>-395512783.7407999</v>
      </c>
      <c r="E43" s="88">
        <f t="shared" si="10"/>
        <v>-209494080.66280293</v>
      </c>
      <c r="F43" s="88">
        <f t="shared" si="10"/>
        <v>-14370723.61859417</v>
      </c>
      <c r="G43" s="88">
        <f t="shared" si="10"/>
        <v>37948938.706001878</v>
      </c>
      <c r="H43" s="88">
        <f t="shared" si="10"/>
        <v>243974020.11246896</v>
      </c>
      <c r="I43" s="88">
        <f t="shared" si="10"/>
        <v>455931753.96113062</v>
      </c>
      <c r="J43" s="88">
        <f t="shared" si="10"/>
        <v>674000119.82525253</v>
      </c>
      <c r="K43" s="88">
        <f t="shared" si="10"/>
        <v>898362436.66529775</v>
      </c>
      <c r="L43" s="88">
        <f t="shared" si="10"/>
        <v>1332224902.0460258</v>
      </c>
    </row>
    <row r="44" spans="1:12" ht="15" customHeight="1" x14ac:dyDescent="0.35">
      <c r="A44" s="74" t="s">
        <v>289</v>
      </c>
      <c r="B44" s="75">
        <f>1/(1+WACC!$B$26)^0</f>
        <v>1</v>
      </c>
      <c r="C44" s="75">
        <f>1/(1+WACC!$B$26)^1</f>
        <v>0.90041410964969082</v>
      </c>
      <c r="D44" s="75">
        <f>1/(1+WACC!$B$26)^2</f>
        <v>0.81074556885624538</v>
      </c>
      <c r="E44" s="75">
        <f>1/(1+WACC!$B$26)^3</f>
        <v>0.73000674953412825</v>
      </c>
      <c r="F44" s="75">
        <f>1/(1+WACC!$B$26)^4</f>
        <v>0.65730837742003689</v>
      </c>
      <c r="G44" s="75">
        <f>1/(1+WACC!$B$26)^5</f>
        <v>0.59184973741994551</v>
      </c>
      <c r="H44" s="75">
        <f>1/(1+WACC!$B$26)^6</f>
        <v>0.53290985436538341</v>
      </c>
      <c r="I44" s="75">
        <f>1/(1+WACC!$B$26)^7</f>
        <v>0.47983955204195311</v>
      </c>
      <c r="J44" s="75">
        <f>1/(1+WACC!$B$26)^8</f>
        <v>0.43205430302656173</v>
      </c>
      <c r="K44" s="75">
        <f>1/(1+WACC!$B$26)^9</f>
        <v>0.38902779057997927</v>
      </c>
      <c r="L44" s="75">
        <f>1/(1+WACC!$B$26)^10</f>
        <v>0.35028611168405838</v>
      </c>
    </row>
    <row r="45" spans="1:12" ht="15" customHeight="1" x14ac:dyDescent="0.35">
      <c r="A45" s="74" t="s">
        <v>290</v>
      </c>
      <c r="B45" s="88">
        <f t="shared" ref="B45:L45" si="11">B42*B44</f>
        <v>-581500000</v>
      </c>
      <c r="C45" s="88">
        <f t="shared" si="11"/>
        <v>7749598.4395097308</v>
      </c>
      <c r="D45" s="88">
        <f t="shared" si="11"/>
        <v>143810463.66700098</v>
      </c>
      <c r="E45" s="88">
        <f t="shared" si="11"/>
        <v>135794908.78652272</v>
      </c>
      <c r="F45" s="88">
        <f t="shared" si="11"/>
        <v>128256217.21547939</v>
      </c>
      <c r="G45" s="88">
        <f t="shared" si="11"/>
        <v>30965378.408712387</v>
      </c>
      <c r="H45" s="88">
        <f t="shared" si="11"/>
        <v>109792796.12793663</v>
      </c>
      <c r="I45" s="88">
        <f t="shared" si="11"/>
        <v>101705704.06176934</v>
      </c>
      <c r="J45" s="88">
        <f t="shared" si="11"/>
        <v>94217375.825564459</v>
      </c>
      <c r="K45" s="88">
        <f t="shared" si="11"/>
        <v>87283176.40968807</v>
      </c>
      <c r="L45" s="88">
        <f t="shared" si="11"/>
        <v>151975996.00387463</v>
      </c>
    </row>
  </sheetData>
  <conditionalFormatting sqref="B42:L42">
    <cfRule type="colorScale" priority="2">
      <colorScale>
        <cfvo type="min"/>
        <cfvo type="num" val="0"/>
        <cfvo type="max"/>
        <color rgb="FFF8696B"/>
        <color rgb="FFFFFFFF"/>
        <color rgb="FF63BE7B"/>
      </colorScale>
    </cfRule>
  </conditionalFormatting>
  <printOptions horizontalCentered="1"/>
  <pageMargins left="0.5" right="0.5" top="0.75" bottom="0.75" header="0.3" footer="0.3"/>
  <pageSetup fitToHeight="0" orientation="landscape" horizontalDpi="300" verticalDpi="300"/>
  <headerFooter>
    <oddHeader>&amp;L and FCF and FCF&amp;C&amp;"Arial,Bold"&amp;10 IDC Capital Budgeting — P</oddHeader>
    <oddFooter>&amp;L&amp;"Arial,Italic"&amp;9 Confidential&amp;R&amp;"Arial,Regular"&amp;9 Page &amp;P of &amp;N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E78"/>
    <pageSetUpPr fitToPage="1"/>
  </sheetPr>
  <dimension ref="A1:L51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4" sqref="B14"/>
    </sheetView>
  </sheetViews>
  <sheetFormatPr defaultColWidth="8.6328125" defaultRowHeight="14.5" x14ac:dyDescent="0.35"/>
  <cols>
    <col min="1" max="1" width="36" customWidth="1"/>
    <col min="2" max="5" width="18" customWidth="1"/>
    <col min="6" max="12" width="14" customWidth="1"/>
  </cols>
  <sheetData>
    <row r="1" spans="1:5" ht="15" customHeight="1" x14ac:dyDescent="0.35">
      <c r="A1" s="4" t="s">
        <v>298</v>
      </c>
      <c r="B1" s="1"/>
      <c r="C1" s="1"/>
      <c r="D1" s="1"/>
      <c r="E1" s="1"/>
    </row>
    <row r="3" spans="1:5" ht="15" customHeight="1" x14ac:dyDescent="0.35">
      <c r="A3" s="60" t="s">
        <v>299</v>
      </c>
      <c r="B3" s="17" t="s">
        <v>300</v>
      </c>
      <c r="C3" s="17" t="s">
        <v>301</v>
      </c>
      <c r="D3" s="17" t="s">
        <v>302</v>
      </c>
    </row>
    <row r="4" spans="1:5" ht="15" customHeight="1" x14ac:dyDescent="0.35">
      <c r="A4" s="2" t="s">
        <v>303</v>
      </c>
      <c r="B4" s="93">
        <v>2</v>
      </c>
      <c r="C4" s="93">
        <v>5</v>
      </c>
      <c r="D4" s="93">
        <v>10</v>
      </c>
    </row>
    <row r="6" spans="1:5" ht="15" customHeight="1" x14ac:dyDescent="0.35">
      <c r="A6" s="4" t="s">
        <v>304</v>
      </c>
      <c r="B6" s="1"/>
      <c r="C6" s="1"/>
      <c r="D6" s="1"/>
      <c r="E6" s="1"/>
    </row>
    <row r="7" spans="1:5" ht="15" customHeight="1" x14ac:dyDescent="0.35">
      <c r="A7" s="3" t="s">
        <v>305</v>
      </c>
      <c r="B7" s="61">
        <f>Assumptions!$B$22*Assumptions!$B$27</f>
        <v>45720000</v>
      </c>
      <c r="C7" s="61">
        <f>Assumptions!$B$22*Assumptions!$B$27</f>
        <v>45720000</v>
      </c>
      <c r="D7" s="61">
        <f>Assumptions!$B$22*Assumptions!$B$27</f>
        <v>45720000</v>
      </c>
    </row>
    <row r="8" spans="1:5" ht="15" customHeight="1" x14ac:dyDescent="0.35">
      <c r="A8" s="3" t="s">
        <v>306</v>
      </c>
      <c r="B8" s="61">
        <f>Depreciation!D25</f>
        <v>246888000</v>
      </c>
      <c r="C8" s="61">
        <f>Assumptions!$B$22*Assumptions!$B$27</f>
        <v>45720000</v>
      </c>
      <c r="D8" s="61">
        <f>Depreciation!L25</f>
        <v>91440000</v>
      </c>
    </row>
    <row r="9" spans="1:5" ht="15" customHeight="1" x14ac:dyDescent="0.35">
      <c r="A9" s="3" t="s">
        <v>307</v>
      </c>
      <c r="B9" s="62">
        <f>B7-B8</f>
        <v>-201168000</v>
      </c>
      <c r="C9" s="62">
        <f>C7-C8</f>
        <v>0</v>
      </c>
      <c r="D9" s="62">
        <f>D7-D8</f>
        <v>-45720000</v>
      </c>
    </row>
    <row r="10" spans="1:5" ht="15" customHeight="1" x14ac:dyDescent="0.35">
      <c r="A10" s="3" t="s">
        <v>308</v>
      </c>
      <c r="B10" s="62">
        <f>B9*Assumptions!$B$4</f>
        <v>-50292000</v>
      </c>
      <c r="C10" s="62">
        <f>C9*Assumptions!$B$4</f>
        <v>0</v>
      </c>
      <c r="D10" s="62">
        <f>D9*Assumptions!$B$4</f>
        <v>-11430000</v>
      </c>
    </row>
    <row r="11" spans="1:5" ht="15" customHeight="1" x14ac:dyDescent="0.35">
      <c r="A11" s="53" t="s">
        <v>309</v>
      </c>
      <c r="B11" s="94">
        <f>B7-B10</f>
        <v>96012000</v>
      </c>
      <c r="C11" s="94">
        <f>C7-C10</f>
        <v>45720000</v>
      </c>
      <c r="D11" s="94">
        <f>D7-D10</f>
        <v>57150000</v>
      </c>
    </row>
    <row r="12" spans="1:5" ht="15" customHeight="1" x14ac:dyDescent="0.35">
      <c r="A12" s="3" t="s">
        <v>310</v>
      </c>
      <c r="B12" s="61">
        <f>Depreciation!D26</f>
        <v>38400000</v>
      </c>
      <c r="C12" s="61">
        <f>Depreciation!G26</f>
        <v>24000000</v>
      </c>
      <c r="D12" s="61">
        <f>Depreciation!L26</f>
        <v>0</v>
      </c>
    </row>
    <row r="13" spans="1:5" ht="15" customHeight="1" x14ac:dyDescent="0.35">
      <c r="A13" s="3" t="s">
        <v>311</v>
      </c>
      <c r="B13" s="61">
        <f>Depreciation!D27</f>
        <v>41200000</v>
      </c>
      <c r="C13" s="61">
        <f>Depreciation!G27</f>
        <v>28000000</v>
      </c>
      <c r="D13" s="61">
        <f>Depreciation!L27</f>
        <v>12000000</v>
      </c>
    </row>
    <row r="14" spans="1:5" ht="15" customHeight="1" x14ac:dyDescent="0.35">
      <c r="A14" s="3" t="s">
        <v>312</v>
      </c>
      <c r="B14" s="61">
        <f>'Working Capital'!D9</f>
        <v>281166158.23240006</v>
      </c>
      <c r="C14" s="61">
        <f>'Working Capital'!G9</f>
        <v>312128444.56620574</v>
      </c>
      <c r="D14" s="61">
        <f>'Working Capital'!L9</f>
        <v>345915006.20718712</v>
      </c>
    </row>
    <row r="15" spans="1:5" ht="15" customHeight="1" x14ac:dyDescent="0.35">
      <c r="A15" s="63" t="s">
        <v>313</v>
      </c>
      <c r="B15" s="34">
        <f>B11+B12+B13+B14</f>
        <v>456778158.23240006</v>
      </c>
      <c r="C15" s="34">
        <f>C11+C12+C13+C14</f>
        <v>409848444.56620574</v>
      </c>
      <c r="D15" s="34">
        <f>D11+D12+D13+D14</f>
        <v>415065006.20718712</v>
      </c>
    </row>
    <row r="17" spans="1:12" ht="15" customHeight="1" x14ac:dyDescent="0.35">
      <c r="A17" s="4" t="s">
        <v>314</v>
      </c>
      <c r="B17" s="1"/>
      <c r="C17" s="1"/>
      <c r="D17" s="1"/>
      <c r="E17" s="1"/>
    </row>
    <row r="18" spans="1:12" ht="15" customHeight="1" x14ac:dyDescent="0.35">
      <c r="A18" s="3" t="s">
        <v>315</v>
      </c>
      <c r="B18" s="52">
        <f>WACC!$B$26</f>
        <v>0.11060009975749202</v>
      </c>
      <c r="C18" s="52">
        <f>WACC!$B$26</f>
        <v>0.11060009975749202</v>
      </c>
      <c r="D18" s="52">
        <f>WACC!$B$26</f>
        <v>0.11060009975749202</v>
      </c>
    </row>
    <row r="19" spans="1:12" ht="15" customHeight="1" x14ac:dyDescent="0.35">
      <c r="A19" s="91" t="s">
        <v>19</v>
      </c>
      <c r="B19" s="95">
        <f>B26+NPV(WACC!$B$26,C26:D26)</f>
        <v>-59609070.156254113</v>
      </c>
      <c r="C19" s="95">
        <f>B27+NPV(WACC!$B$26,C27:G27)</f>
        <v>197843160.79850686</v>
      </c>
      <c r="D19" s="95">
        <f>B28+NPV(WACC!$B$26,C28:L28)</f>
        <v>484328953.759866</v>
      </c>
    </row>
    <row r="20" spans="1:12" ht="15" customHeight="1" x14ac:dyDescent="0.35">
      <c r="A20" s="91" t="s">
        <v>20</v>
      </c>
      <c r="B20" s="96">
        <f>IRR(B26:D26)</f>
        <v>5.1723840904077445E-2</v>
      </c>
      <c r="C20" s="96">
        <f>IRR(B27:G27)</f>
        <v>0.19867797908696994</v>
      </c>
      <c r="D20" s="96">
        <f>IRR(B28:L28)</f>
        <v>0.23547073130852603</v>
      </c>
    </row>
    <row r="21" spans="1:12" ht="15" customHeight="1" x14ac:dyDescent="0.35">
      <c r="A21" s="91" t="s">
        <v>316</v>
      </c>
      <c r="B21" s="97">
        <f>IF(MAX(B30:D30)&lt;0,"No payback",COUNTIF(B30:D30,"&lt;0")-1+ABS(INDEX(B30:D30,COUNTIF(B30:D30,"&lt;0")))/INDEX(B26:D26,COUNTIF(B30:D30,"&lt;0")+1))</f>
        <v>1.9033910952894577</v>
      </c>
      <c r="C21" s="97">
        <f>IF(MAX(B31:G31)&lt;0,"No payback",COUNTIF(B31:G31,"&lt;0")-1+ABS(INDEX(B31:G31,COUNTIF(B31:G31,"&lt;0")))/INDEX(B27:G27,COUNTIF(B31:G31,"&lt;0")+1))</f>
        <v>4.0233834516589182</v>
      </c>
      <c r="D21" s="97">
        <f>IF(MAX(B32:L32)&lt;0,"No payback",COUNTIF(B32:L32,"&lt;0")-1+ABS(INDEX(B32:L32,COUNTIF(B32:L32,"&lt;0")))/INDEX(B28:L28,COUNTIF(B32:L32,"&lt;0")+1))</f>
        <v>4.274671566674817</v>
      </c>
    </row>
    <row r="22" spans="1:12" ht="31.5" customHeight="1" x14ac:dyDescent="0.35">
      <c r="A22" s="63" t="s">
        <v>63</v>
      </c>
      <c r="B22" s="98" t="str">
        <f>IF(AND(B19&gt;0,B20&gt;WACC!$B$26,ISNUMBER(B21),B21&lt;2),"ACCEPT",IF(AND(B19&gt;0,B20&gt;WACC!$B$26),"MEETS NPV/IRR (payback fails)","REJECT"))</f>
        <v>REJECT</v>
      </c>
      <c r="C22" s="98" t="str">
        <f>IF(AND(C19&gt;0,C20&gt;WACC!$B$26,ISNUMBER(C21),C21&lt;2),"ACCEPT",IF(AND(C19&gt;0,C20&gt;WACC!$B$26),"MEETS NPV/IRR (payback fails)","REJECT"))</f>
        <v>MEETS NPV/IRR (payback fails)</v>
      </c>
      <c r="D22" s="98" t="str">
        <f>IF(AND(D19&gt;0,D20&gt;WACC!$B$26,ISNUMBER(D21),D21&lt;2),"ACCEPT",IF(AND(D19&gt;0,D20&gt;WACC!$B$26),"MEETS NPV/IRR (payback fails)","REJECT"))</f>
        <v>MEETS NPV/IRR (payback fails)</v>
      </c>
    </row>
    <row r="24" spans="1:12" ht="15" customHeight="1" x14ac:dyDescent="0.35">
      <c r="A24" s="74" t="s">
        <v>317</v>
      </c>
    </row>
    <row r="25" spans="1:12" ht="15" customHeight="1" x14ac:dyDescent="0.35">
      <c r="B25" s="99" t="s">
        <v>209</v>
      </c>
      <c r="C25" s="99" t="s">
        <v>210</v>
      </c>
      <c r="D25" s="99" t="s">
        <v>211</v>
      </c>
      <c r="E25" s="99" t="s">
        <v>212</v>
      </c>
      <c r="F25" s="99" t="s">
        <v>213</v>
      </c>
      <c r="G25" s="99" t="s">
        <v>214</v>
      </c>
      <c r="H25" s="99" t="s">
        <v>215</v>
      </c>
      <c r="I25" s="99" t="s">
        <v>216</v>
      </c>
      <c r="J25" s="99" t="s">
        <v>217</v>
      </c>
      <c r="K25" s="99" t="s">
        <v>218</v>
      </c>
      <c r="L25" s="99" t="s">
        <v>219</v>
      </c>
    </row>
    <row r="26" spans="1:12" ht="15" customHeight="1" x14ac:dyDescent="0.35">
      <c r="A26" s="53" t="s">
        <v>318</v>
      </c>
      <c r="B26" s="61">
        <f>'P&amp;L and FCF'!B42</f>
        <v>-581500000</v>
      </c>
      <c r="C26" s="61">
        <f>'P&amp;L and FCF'!C42</f>
        <v>8606704.8000000119</v>
      </c>
      <c r="D26" s="62">
        <f>'P&amp;L and FCF'!D42+B15</f>
        <v>634158669.6916002</v>
      </c>
      <c r="E26" s="100">
        <v>0</v>
      </c>
      <c r="F26" s="100">
        <v>0</v>
      </c>
      <c r="G26" s="100">
        <v>0</v>
      </c>
      <c r="H26" s="100">
        <v>0</v>
      </c>
      <c r="I26" s="100">
        <v>0</v>
      </c>
      <c r="J26" s="100">
        <v>0</v>
      </c>
      <c r="K26" s="100">
        <v>0</v>
      </c>
      <c r="L26" s="100">
        <v>0</v>
      </c>
    </row>
    <row r="27" spans="1:12" ht="15" customHeight="1" x14ac:dyDescent="0.35">
      <c r="A27" s="53" t="s">
        <v>319</v>
      </c>
      <c r="B27" s="61">
        <f>'P&amp;L and FCF'!B42</f>
        <v>-581500000</v>
      </c>
      <c r="C27" s="61">
        <f>'P&amp;L and FCF'!C42</f>
        <v>8606704.8000000119</v>
      </c>
      <c r="D27" s="61">
        <f>'P&amp;L and FCF'!D42</f>
        <v>177380511.45920014</v>
      </c>
      <c r="E27" s="61">
        <f>'P&amp;L and FCF'!E42</f>
        <v>186018703.07799697</v>
      </c>
      <c r="F27" s="61">
        <f>'P&amp;L and FCF'!F42</f>
        <v>195123357.04420877</v>
      </c>
      <c r="G27" s="62">
        <f>'P&amp;L and FCF'!G42-'P&amp;L and FCF'!G37+C15</f>
        <v>614568106.89080179</v>
      </c>
      <c r="H27" s="100">
        <v>0</v>
      </c>
      <c r="I27" s="100">
        <v>0</v>
      </c>
      <c r="J27" s="100">
        <v>0</v>
      </c>
      <c r="K27" s="100">
        <v>0</v>
      </c>
      <c r="L27" s="100">
        <v>0</v>
      </c>
    </row>
    <row r="28" spans="1:12" ht="15" customHeight="1" x14ac:dyDescent="0.35">
      <c r="A28" s="53" t="s">
        <v>320</v>
      </c>
      <c r="B28" s="61">
        <f>'P&amp;L and FCF'!B42</f>
        <v>-581500000</v>
      </c>
      <c r="C28" s="61">
        <f>'P&amp;L and FCF'!C42</f>
        <v>8606704.8000000119</v>
      </c>
      <c r="D28" s="61">
        <f>'P&amp;L and FCF'!D42</f>
        <v>177380511.45920014</v>
      </c>
      <c r="E28" s="61">
        <f>'P&amp;L and FCF'!E42</f>
        <v>186018703.07799697</v>
      </c>
      <c r="F28" s="61">
        <f>'P&amp;L and FCF'!F42</f>
        <v>195123357.04420877</v>
      </c>
      <c r="G28" s="61">
        <f>'P&amp;L and FCF'!G42</f>
        <v>52319662.324596047</v>
      </c>
      <c r="H28" s="61">
        <f>'P&amp;L and FCF'!H42</f>
        <v>206025081.40646708</v>
      </c>
      <c r="I28" s="61">
        <f>'P&amp;L and FCF'!I42</f>
        <v>211957733.84866166</v>
      </c>
      <c r="J28" s="61">
        <f>'P&amp;L and FCF'!J42</f>
        <v>218068365.86412191</v>
      </c>
      <c r="K28" s="61">
        <f>'P&amp;L and FCF'!K42</f>
        <v>224362316.84004521</v>
      </c>
      <c r="L28" s="62">
        <f>'P&amp;L and FCF'!L35+'P&amp;L and FCF'!L36+'P&amp;L and FCF'!L37+'P&amp;L and FCF'!L38+D15</f>
        <v>645910092.55243361</v>
      </c>
    </row>
    <row r="30" spans="1:12" ht="15" customHeight="1" x14ac:dyDescent="0.35">
      <c r="A30" s="74" t="s">
        <v>321</v>
      </c>
      <c r="B30" s="88">
        <f>B26</f>
        <v>-581500000</v>
      </c>
      <c r="C30" s="88">
        <f t="shared" ref="C30:L30" si="0">B30+C26</f>
        <v>-572893295.20000005</v>
      </c>
      <c r="D30" s="88">
        <f t="shared" si="0"/>
        <v>61265374.491600156</v>
      </c>
      <c r="E30" s="88">
        <f t="shared" si="0"/>
        <v>61265374.491600156</v>
      </c>
      <c r="F30" s="88">
        <f t="shared" si="0"/>
        <v>61265374.491600156</v>
      </c>
      <c r="G30" s="88">
        <f t="shared" si="0"/>
        <v>61265374.491600156</v>
      </c>
      <c r="H30" s="88">
        <f t="shared" si="0"/>
        <v>61265374.491600156</v>
      </c>
      <c r="I30" s="88">
        <f t="shared" si="0"/>
        <v>61265374.491600156</v>
      </c>
      <c r="J30" s="88">
        <f t="shared" si="0"/>
        <v>61265374.491600156</v>
      </c>
      <c r="K30" s="88">
        <f t="shared" si="0"/>
        <v>61265374.491600156</v>
      </c>
      <c r="L30" s="88">
        <f t="shared" si="0"/>
        <v>61265374.491600156</v>
      </c>
    </row>
    <row r="31" spans="1:12" ht="15" customHeight="1" x14ac:dyDescent="0.35">
      <c r="A31" s="74" t="s">
        <v>322</v>
      </c>
      <c r="B31" s="88">
        <f>B27</f>
        <v>-581500000</v>
      </c>
      <c r="C31" s="88">
        <f t="shared" ref="C31:L31" si="1">B31+C27</f>
        <v>-572893295.20000005</v>
      </c>
      <c r="D31" s="88">
        <f t="shared" si="1"/>
        <v>-395512783.7407999</v>
      </c>
      <c r="E31" s="88">
        <f t="shared" si="1"/>
        <v>-209494080.66280293</v>
      </c>
      <c r="F31" s="88">
        <f t="shared" si="1"/>
        <v>-14370723.61859417</v>
      </c>
      <c r="G31" s="88">
        <f t="shared" si="1"/>
        <v>600197383.27220762</v>
      </c>
      <c r="H31" s="88">
        <f t="shared" si="1"/>
        <v>600197383.27220762</v>
      </c>
      <c r="I31" s="88">
        <f t="shared" si="1"/>
        <v>600197383.27220762</v>
      </c>
      <c r="J31" s="88">
        <f t="shared" si="1"/>
        <v>600197383.27220762</v>
      </c>
      <c r="K31" s="88">
        <f t="shared" si="1"/>
        <v>600197383.27220762</v>
      </c>
      <c r="L31" s="88">
        <f t="shared" si="1"/>
        <v>600197383.27220762</v>
      </c>
    </row>
    <row r="32" spans="1:12" ht="15" customHeight="1" x14ac:dyDescent="0.35">
      <c r="A32" s="74" t="s">
        <v>323</v>
      </c>
      <c r="B32" s="88">
        <f>B28</f>
        <v>-581500000</v>
      </c>
      <c r="C32" s="88">
        <f t="shared" ref="C32:L32" si="2">B32+C28</f>
        <v>-572893295.20000005</v>
      </c>
      <c r="D32" s="88">
        <f t="shared" si="2"/>
        <v>-395512783.7407999</v>
      </c>
      <c r="E32" s="88">
        <f t="shared" si="2"/>
        <v>-209494080.66280293</v>
      </c>
      <c r="F32" s="88">
        <f t="shared" si="2"/>
        <v>-14370723.61859417</v>
      </c>
      <c r="G32" s="88">
        <f t="shared" si="2"/>
        <v>37948938.706001878</v>
      </c>
      <c r="H32" s="88">
        <f t="shared" si="2"/>
        <v>243974020.11246896</v>
      </c>
      <c r="I32" s="88">
        <f t="shared" si="2"/>
        <v>455931753.96113062</v>
      </c>
      <c r="J32" s="88">
        <f t="shared" si="2"/>
        <v>674000119.82525253</v>
      </c>
      <c r="K32" s="88">
        <f t="shared" si="2"/>
        <v>898362436.66529775</v>
      </c>
      <c r="L32" s="88">
        <f t="shared" si="2"/>
        <v>1544272529.2177315</v>
      </c>
    </row>
    <row r="35" spans="1:8" ht="15" customHeight="1" x14ac:dyDescent="0.35">
      <c r="A35" s="58" t="s">
        <v>324</v>
      </c>
    </row>
    <row r="36" spans="1:8" ht="15" customHeight="1" x14ac:dyDescent="0.35">
      <c r="A36" s="127" t="s">
        <v>325</v>
      </c>
      <c r="B36" s="127"/>
      <c r="C36" s="127"/>
      <c r="D36" s="127"/>
      <c r="E36" s="127"/>
    </row>
    <row r="37" spans="1:8" ht="15" customHeight="1" x14ac:dyDescent="0.35">
      <c r="A37" s="127" t="s">
        <v>326</v>
      </c>
      <c r="B37" s="127"/>
      <c r="C37" s="127"/>
      <c r="D37" s="127"/>
      <c r="E37" s="127"/>
    </row>
    <row r="40" spans="1:8" ht="15" customHeight="1" x14ac:dyDescent="0.35">
      <c r="A40" s="129" t="s">
        <v>327</v>
      </c>
      <c r="B40" s="129"/>
      <c r="C40" s="129"/>
      <c r="D40" s="129"/>
      <c r="E40" s="129"/>
      <c r="F40" s="129"/>
      <c r="G40" s="129"/>
      <c r="H40" s="129"/>
    </row>
    <row r="42" spans="1:8" ht="21.75" customHeight="1" x14ac:dyDescent="0.35">
      <c r="A42" s="101" t="s">
        <v>328</v>
      </c>
      <c r="B42" s="101" t="s">
        <v>329</v>
      </c>
      <c r="C42" s="101" t="s">
        <v>330</v>
      </c>
      <c r="D42" s="101" t="s">
        <v>331</v>
      </c>
      <c r="E42" s="101" t="s">
        <v>332</v>
      </c>
    </row>
    <row r="43" spans="1:8" ht="15" customHeight="1" x14ac:dyDescent="0.35">
      <c r="A43" s="102">
        <v>450</v>
      </c>
      <c r="B43" s="103">
        <f>A43/Assumptions!$B$10-1</f>
        <v>-0.18181818181818177</v>
      </c>
      <c r="C43" s="104">
        <f>(A43-Assumptions!$B$10)*Assumptions!$B$9/1000000</f>
        <v>-300</v>
      </c>
      <c r="D43" s="104">
        <f>C43*0.705*((1-(1+WACC!$B$26)^-5)/WACC!$B$26)</f>
        <v>-780.50364081913028</v>
      </c>
      <c r="E43" s="105">
        <f>Scenarios!$C$19/1000000+D43</f>
        <v>-582.66048002062348</v>
      </c>
    </row>
    <row r="44" spans="1:8" ht="15" customHeight="1" x14ac:dyDescent="0.35">
      <c r="A44" s="102">
        <v>500</v>
      </c>
      <c r="B44" s="103">
        <f>A44/Assumptions!$B$10-1</f>
        <v>-9.0909090909090939E-2</v>
      </c>
      <c r="C44" s="104">
        <f>(A44-Assumptions!$B$10)*Assumptions!$B$9/1000000</f>
        <v>-150</v>
      </c>
      <c r="D44" s="104">
        <f>C44*0.705*((1-(1+WACC!$B$26)^-5)/WACC!$B$26)</f>
        <v>-390.25182040956514</v>
      </c>
      <c r="E44" s="105">
        <f>Scenarios!$C$19/1000000+D44</f>
        <v>-192.40865961105828</v>
      </c>
    </row>
    <row r="45" spans="1:8" ht="15" customHeight="1" x14ac:dyDescent="0.35">
      <c r="A45" s="102">
        <v>525</v>
      </c>
      <c r="B45" s="103">
        <f>A45/Assumptions!$B$10-1</f>
        <v>-4.5454545454545414E-2</v>
      </c>
      <c r="C45" s="104">
        <f>(A45-Assumptions!$B$10)*Assumptions!$B$9/1000000</f>
        <v>-75</v>
      </c>
      <c r="D45" s="104">
        <f>C45*0.705*((1-(1+WACC!$B$26)^-5)/WACC!$B$26)</f>
        <v>-195.12591020478257</v>
      </c>
      <c r="E45" s="105">
        <f>Scenarios!$C$19/1000000+D45</f>
        <v>2.7172505937242875</v>
      </c>
    </row>
    <row r="46" spans="1:8" ht="15" customHeight="1" x14ac:dyDescent="0.35">
      <c r="A46" s="106">
        <v>550</v>
      </c>
      <c r="B46" s="103">
        <f>A46/Assumptions!$B$10-1</f>
        <v>0</v>
      </c>
      <c r="C46" s="104">
        <f>(A46-Assumptions!$B$10)*Assumptions!$B$9/1000000</f>
        <v>0</v>
      </c>
      <c r="D46" s="104">
        <f>C46*0.705*((1-(1+WACC!$B$26)^-5)/WACC!$B$26)</f>
        <v>0</v>
      </c>
      <c r="E46" s="105">
        <f>Scenarios!$C$19/1000000+D46</f>
        <v>197.84316079850686</v>
      </c>
    </row>
    <row r="47" spans="1:8" ht="15" customHeight="1" x14ac:dyDescent="0.35">
      <c r="A47" s="102">
        <v>575</v>
      </c>
      <c r="B47" s="103">
        <f>A47/Assumptions!$B$10-1</f>
        <v>4.5454545454545414E-2</v>
      </c>
      <c r="C47" s="104">
        <f>(A47-Assumptions!$B$10)*Assumptions!$B$9/1000000</f>
        <v>75</v>
      </c>
      <c r="D47" s="104">
        <f>C47*0.705*((1-(1+WACC!$B$26)^-5)/WACC!$B$26)</f>
        <v>195.12591020478257</v>
      </c>
      <c r="E47" s="105">
        <f>Scenarios!$C$19/1000000+D47</f>
        <v>392.9690710032894</v>
      </c>
    </row>
    <row r="48" spans="1:8" ht="15" customHeight="1" x14ac:dyDescent="0.35">
      <c r="A48" s="102">
        <v>600</v>
      </c>
      <c r="B48" s="103">
        <f>A48/Assumptions!$B$10-1</f>
        <v>9.0909090909090828E-2</v>
      </c>
      <c r="C48" s="104">
        <f>(A48-Assumptions!$B$10)*Assumptions!$B$9/1000000</f>
        <v>150</v>
      </c>
      <c r="D48" s="104">
        <f>C48*0.705*((1-(1+WACC!$B$26)^-5)/WACC!$B$26)</f>
        <v>390.25182040956514</v>
      </c>
      <c r="E48" s="105">
        <f>Scenarios!$C$19/1000000+D48</f>
        <v>588.094981208072</v>
      </c>
    </row>
    <row r="49" spans="1:5" ht="15" customHeight="1" x14ac:dyDescent="0.35">
      <c r="A49" s="102">
        <v>650</v>
      </c>
      <c r="B49" s="103">
        <f>A49/Assumptions!$B$10-1</f>
        <v>0.18181818181818188</v>
      </c>
      <c r="C49" s="104">
        <f>(A49-Assumptions!$B$10)*Assumptions!$B$9/1000000</f>
        <v>300</v>
      </c>
      <c r="D49" s="104">
        <f>C49*0.705*((1-(1+WACC!$B$26)^-5)/WACC!$B$26)</f>
        <v>780.50364081913028</v>
      </c>
      <c r="E49" s="105">
        <f>Scenarios!$C$19/1000000+D49</f>
        <v>978.34680161763708</v>
      </c>
    </row>
    <row r="51" spans="1:5" ht="27.75" customHeight="1" x14ac:dyDescent="0.35">
      <c r="A51" s="130" t="s">
        <v>333</v>
      </c>
      <c r="B51" s="130"/>
      <c r="C51" s="130"/>
      <c r="D51" s="130"/>
      <c r="E51" s="130"/>
    </row>
  </sheetData>
  <mergeCells count="4">
    <mergeCell ref="A36:E36"/>
    <mergeCell ref="A37:E37"/>
    <mergeCell ref="A40:H40"/>
    <mergeCell ref="A51:E51"/>
  </mergeCells>
  <conditionalFormatting sqref="B19:D19">
    <cfRule type="colorScale" priority="26">
      <colorScale>
        <cfvo type="min"/>
        <cfvo type="num" val="0"/>
        <cfvo type="max"/>
        <color rgb="FFF8696B"/>
        <color rgb="FFFFEB84"/>
        <color rgb="FF63BE7B"/>
      </colorScale>
    </cfRule>
    <cfRule type="colorScale" priority="27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B22:D22">
    <cfRule type="cellIs" dxfId="3" priority="2" operator="equal">
      <formula>"REJECT"</formula>
    </cfRule>
    <cfRule type="cellIs" dxfId="2" priority="3" operator="equal">
      <formula>"ACCEPT"</formula>
    </cfRule>
    <cfRule type="cellIs" dxfId="1" priority="4" operator="equal">
      <formula>"ACCEPT (ideal)"</formula>
    </cfRule>
    <cfRule type="cellIs" dxfId="0" priority="5" operator="equal">
      <formula>"MEETS NPV/IRR (payback fails)"</formula>
    </cfRule>
  </conditionalFormatting>
  <conditionalFormatting sqref="E43:E49">
    <cfRule type="colorScale" priority="28">
      <colorScale>
        <cfvo type="min"/>
        <cfvo type="num" val="0"/>
        <cfvo type="max"/>
        <color rgb="FFF8696B"/>
        <color rgb="FFFFEB84"/>
        <color rgb="FF63BE7B"/>
      </colorScale>
    </cfRule>
    <cfRule type="colorScale" priority="29">
      <colorScale>
        <cfvo type="min"/>
        <cfvo type="num" val="0"/>
        <cfvo type="max"/>
        <color rgb="FFF8696B"/>
        <color rgb="FFFFEB84"/>
        <color rgb="FF63BE7B"/>
      </colorScale>
    </cfRule>
  </conditionalFormatting>
  <printOptions horizontalCentered="1"/>
  <pageMargins left="0.5" right="0.5" top="0.75" bottom="0.75" header="0.3" footer="0.3"/>
  <pageSetup fitToHeight="0" orientation="landscape" horizontalDpi="300" verticalDpi="300"/>
  <headerFooter>
    <oddHeader>&amp;C&amp;"Arial,Bold"&amp;10 IDC Capital Budgeting — Scenarios</oddHeader>
    <oddFooter>&amp;L&amp;"Arial,Italic"&amp;9 Confidential&amp;R&amp;"Arial,Regular"&amp;9 Page &amp;P of &amp;N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F7F7F"/>
    <pageSetUpPr fitToPage="1"/>
  </sheetPr>
  <dimension ref="B1:C4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2" customWidth="1"/>
    <col min="3" max="3" width="80" customWidth="1"/>
  </cols>
  <sheetData>
    <row r="1" spans="2:3" ht="24" customHeight="1" x14ac:dyDescent="0.35">
      <c r="B1" s="131" t="s">
        <v>334</v>
      </c>
      <c r="C1" s="131"/>
    </row>
    <row r="3" spans="2:3" ht="15" customHeight="1" x14ac:dyDescent="0.35">
      <c r="B3" s="107" t="s">
        <v>335</v>
      </c>
      <c r="C3" s="107" t="s">
        <v>185</v>
      </c>
    </row>
    <row r="4" spans="2:3" ht="15" customHeight="1" x14ac:dyDescent="0.35">
      <c r="B4" s="132" t="s">
        <v>336</v>
      </c>
      <c r="C4" s="132"/>
    </row>
    <row r="5" spans="2:3" ht="30" customHeight="1" x14ac:dyDescent="0.35">
      <c r="B5" s="108" t="s">
        <v>337</v>
      </c>
      <c r="C5" s="109" t="s">
        <v>338</v>
      </c>
    </row>
    <row r="6" spans="2:3" ht="30" customHeight="1" x14ac:dyDescent="0.35">
      <c r="B6" s="108" t="s">
        <v>339</v>
      </c>
      <c r="C6" s="109" t="s">
        <v>340</v>
      </c>
    </row>
    <row r="7" spans="2:3" ht="30" customHeight="1" x14ac:dyDescent="0.35">
      <c r="B7" s="108" t="s">
        <v>341</v>
      </c>
      <c r="C7" s="109" t="s">
        <v>342</v>
      </c>
    </row>
    <row r="8" spans="2:3" ht="30" customHeight="1" x14ac:dyDescent="0.35">
      <c r="B8" s="108" t="s">
        <v>343</v>
      </c>
      <c r="C8" s="109" t="s">
        <v>344</v>
      </c>
    </row>
    <row r="9" spans="2:3" ht="30" customHeight="1" x14ac:dyDescent="0.35">
      <c r="B9" s="108" t="s">
        <v>345</v>
      </c>
      <c r="C9" s="109" t="s">
        <v>346</v>
      </c>
    </row>
    <row r="10" spans="2:3" ht="30" customHeight="1" x14ac:dyDescent="0.35">
      <c r="B10" s="108" t="s">
        <v>347</v>
      </c>
      <c r="C10" s="109" t="s">
        <v>348</v>
      </c>
    </row>
    <row r="11" spans="2:3" ht="30" customHeight="1" x14ac:dyDescent="0.35">
      <c r="B11" s="108" t="s">
        <v>349</v>
      </c>
      <c r="C11" s="109" t="s">
        <v>350</v>
      </c>
    </row>
    <row r="12" spans="2:3" ht="30" customHeight="1" x14ac:dyDescent="0.35">
      <c r="B12" s="108" t="s">
        <v>147</v>
      </c>
      <c r="C12" s="109" t="s">
        <v>351</v>
      </c>
    </row>
    <row r="13" spans="2:3" ht="30" customHeight="1" x14ac:dyDescent="0.35">
      <c r="B13" s="108" t="s">
        <v>352</v>
      </c>
      <c r="C13" s="109" t="s">
        <v>353</v>
      </c>
    </row>
    <row r="14" spans="2:3" ht="30" customHeight="1" x14ac:dyDescent="0.35">
      <c r="B14" s="108" t="s">
        <v>271</v>
      </c>
      <c r="C14" s="109" t="s">
        <v>354</v>
      </c>
    </row>
    <row r="15" spans="2:3" ht="30" customHeight="1" x14ac:dyDescent="0.35">
      <c r="B15" s="108" t="s">
        <v>355</v>
      </c>
      <c r="C15" s="109" t="s">
        <v>356</v>
      </c>
    </row>
    <row r="16" spans="2:3" ht="30" customHeight="1" x14ac:dyDescent="0.35">
      <c r="B16" s="108" t="s">
        <v>122</v>
      </c>
      <c r="C16" s="109" t="s">
        <v>357</v>
      </c>
    </row>
    <row r="17" spans="2:3" ht="30" customHeight="1" x14ac:dyDescent="0.35">
      <c r="B17" s="108" t="s">
        <v>124</v>
      </c>
      <c r="C17" s="109" t="s">
        <v>358</v>
      </c>
    </row>
    <row r="18" spans="2:3" ht="30" customHeight="1" x14ac:dyDescent="0.35">
      <c r="B18" s="108" t="s">
        <v>359</v>
      </c>
      <c r="C18" s="109" t="s">
        <v>360</v>
      </c>
    </row>
    <row r="19" spans="2:3" ht="30" customHeight="1" x14ac:dyDescent="0.35">
      <c r="B19" s="108" t="s">
        <v>361</v>
      </c>
      <c r="C19" s="109" t="s">
        <v>362</v>
      </c>
    </row>
    <row r="20" spans="2:3" ht="30" customHeight="1" x14ac:dyDescent="0.35">
      <c r="B20" s="108" t="s">
        <v>363</v>
      </c>
      <c r="C20" s="109" t="s">
        <v>364</v>
      </c>
    </row>
    <row r="21" spans="2:3" ht="30" customHeight="1" x14ac:dyDescent="0.35">
      <c r="B21" s="108" t="s">
        <v>365</v>
      </c>
      <c r="C21" s="109" t="s">
        <v>366</v>
      </c>
    </row>
    <row r="22" spans="2:3" ht="30" customHeight="1" x14ac:dyDescent="0.35">
      <c r="B22" s="108" t="s">
        <v>367</v>
      </c>
      <c r="C22" s="109" t="s">
        <v>368</v>
      </c>
    </row>
    <row r="23" spans="2:3" ht="30" customHeight="1" x14ac:dyDescent="0.35">
      <c r="B23" s="108" t="s">
        <v>369</v>
      </c>
      <c r="C23" s="109" t="s">
        <v>370</v>
      </c>
    </row>
    <row r="24" spans="2:3" ht="30" customHeight="1" x14ac:dyDescent="0.35">
      <c r="B24" s="108" t="s">
        <v>200</v>
      </c>
      <c r="C24" s="109" t="s">
        <v>371</v>
      </c>
    </row>
    <row r="25" spans="2:3" ht="30" customHeight="1" x14ac:dyDescent="0.35">
      <c r="B25" s="108" t="s">
        <v>372</v>
      </c>
      <c r="C25" s="109" t="s">
        <v>373</v>
      </c>
    </row>
    <row r="27" spans="2:3" ht="15" customHeight="1" x14ac:dyDescent="0.35">
      <c r="B27" s="132" t="s">
        <v>374</v>
      </c>
      <c r="C27" s="132"/>
    </row>
    <row r="28" spans="2:3" ht="30" customHeight="1" x14ac:dyDescent="0.35">
      <c r="B28" s="108" t="s">
        <v>375</v>
      </c>
      <c r="C28" s="109" t="s">
        <v>376</v>
      </c>
    </row>
    <row r="29" spans="2:3" ht="30" customHeight="1" x14ac:dyDescent="0.35">
      <c r="B29" s="108" t="s">
        <v>377</v>
      </c>
      <c r="C29" s="109" t="s">
        <v>378</v>
      </c>
    </row>
    <row r="30" spans="2:3" ht="30" customHeight="1" x14ac:dyDescent="0.35">
      <c r="B30" s="108" t="s">
        <v>379</v>
      </c>
      <c r="C30" s="109" t="s">
        <v>380</v>
      </c>
    </row>
    <row r="31" spans="2:3" ht="30" customHeight="1" x14ac:dyDescent="0.35">
      <c r="B31" s="108" t="s">
        <v>381</v>
      </c>
      <c r="C31" s="109" t="s">
        <v>382</v>
      </c>
    </row>
    <row r="32" spans="2:3" ht="30" customHeight="1" x14ac:dyDescent="0.35">
      <c r="B32" s="108" t="s">
        <v>383</v>
      </c>
      <c r="C32" s="109" t="s">
        <v>384</v>
      </c>
    </row>
    <row r="33" spans="2:3" ht="30" customHeight="1" x14ac:dyDescent="0.35">
      <c r="B33" s="108" t="s">
        <v>385</v>
      </c>
      <c r="C33" s="109" t="s">
        <v>386</v>
      </c>
    </row>
    <row r="34" spans="2:3" ht="30" customHeight="1" x14ac:dyDescent="0.35">
      <c r="B34" s="108" t="s">
        <v>387</v>
      </c>
      <c r="C34" s="109" t="s">
        <v>388</v>
      </c>
    </row>
    <row r="35" spans="2:3" ht="30" customHeight="1" x14ac:dyDescent="0.35">
      <c r="B35" s="108" t="s">
        <v>389</v>
      </c>
      <c r="C35" s="109" t="s">
        <v>390</v>
      </c>
    </row>
    <row r="36" spans="2:3" ht="30" customHeight="1" x14ac:dyDescent="0.35">
      <c r="B36" s="108" t="s">
        <v>391</v>
      </c>
      <c r="C36" s="109" t="s">
        <v>392</v>
      </c>
    </row>
    <row r="38" spans="2:3" ht="15" customHeight="1" x14ac:dyDescent="0.35">
      <c r="B38" s="132" t="s">
        <v>393</v>
      </c>
      <c r="C38" s="132"/>
    </row>
    <row r="39" spans="2:3" ht="30" customHeight="1" x14ac:dyDescent="0.35">
      <c r="B39" s="108" t="s">
        <v>394</v>
      </c>
      <c r="C39" s="109" t="s">
        <v>395</v>
      </c>
    </row>
    <row r="40" spans="2:3" ht="30" customHeight="1" x14ac:dyDescent="0.35">
      <c r="B40" s="108" t="s">
        <v>396</v>
      </c>
      <c r="C40" s="109" t="s">
        <v>397</v>
      </c>
    </row>
    <row r="41" spans="2:3" ht="30" customHeight="1" x14ac:dyDescent="0.35">
      <c r="B41" s="108" t="s">
        <v>398</v>
      </c>
      <c r="C41" s="109" t="s">
        <v>399</v>
      </c>
    </row>
    <row r="42" spans="2:3" ht="30" customHeight="1" x14ac:dyDescent="0.35">
      <c r="B42" s="108" t="s">
        <v>400</v>
      </c>
      <c r="C42" s="109" t="s">
        <v>401</v>
      </c>
    </row>
    <row r="43" spans="2:3" ht="30" customHeight="1" x14ac:dyDescent="0.35">
      <c r="B43" s="108" t="s">
        <v>402</v>
      </c>
      <c r="C43" s="109" t="s">
        <v>403</v>
      </c>
    </row>
  </sheetData>
  <mergeCells count="4">
    <mergeCell ref="B1:C1"/>
    <mergeCell ref="B4:C4"/>
    <mergeCell ref="B27:C27"/>
    <mergeCell ref="B38:C38"/>
  </mergeCells>
  <printOptions horizontalCentered="1"/>
  <pageMargins left="0.5" right="0.5" top="0.75" bottom="0.75" header="0.511811023622047" footer="0.511811023622047"/>
  <pageSetup fitToHeight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7F7F"/>
  </sheetPr>
  <dimension ref="B1:C4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3" customWidth="1"/>
    <col min="2" max="2" width="30" customWidth="1"/>
    <col min="3" max="3" width="70" customWidth="1"/>
  </cols>
  <sheetData>
    <row r="1" spans="2:3" ht="24" customHeight="1" x14ac:dyDescent="0.35">
      <c r="B1" s="131" t="s">
        <v>334</v>
      </c>
      <c r="C1" s="131"/>
    </row>
    <row r="3" spans="2:3" ht="15" customHeight="1" x14ac:dyDescent="0.35">
      <c r="B3" s="107" t="s">
        <v>335</v>
      </c>
      <c r="C3" s="107" t="s">
        <v>185</v>
      </c>
    </row>
    <row r="4" spans="2:3" ht="15" customHeight="1" x14ac:dyDescent="0.35">
      <c r="B4" s="132" t="s">
        <v>336</v>
      </c>
      <c r="C4" s="132"/>
    </row>
    <row r="5" spans="2:3" ht="30" customHeight="1" x14ac:dyDescent="0.35">
      <c r="B5" s="108" t="s">
        <v>337</v>
      </c>
      <c r="C5" s="109" t="s">
        <v>338</v>
      </c>
    </row>
    <row r="6" spans="2:3" ht="30" customHeight="1" x14ac:dyDescent="0.35">
      <c r="B6" s="108" t="s">
        <v>339</v>
      </c>
      <c r="C6" s="109" t="s">
        <v>340</v>
      </c>
    </row>
    <row r="7" spans="2:3" ht="30" customHeight="1" x14ac:dyDescent="0.35">
      <c r="B7" s="108" t="s">
        <v>341</v>
      </c>
      <c r="C7" s="109" t="s">
        <v>342</v>
      </c>
    </row>
    <row r="8" spans="2:3" ht="30" customHeight="1" x14ac:dyDescent="0.35">
      <c r="B8" s="108" t="s">
        <v>343</v>
      </c>
      <c r="C8" s="109" t="s">
        <v>344</v>
      </c>
    </row>
    <row r="9" spans="2:3" ht="30" customHeight="1" x14ac:dyDescent="0.35">
      <c r="B9" s="108" t="s">
        <v>345</v>
      </c>
      <c r="C9" s="109" t="s">
        <v>346</v>
      </c>
    </row>
    <row r="10" spans="2:3" ht="30" customHeight="1" x14ac:dyDescent="0.35">
      <c r="B10" s="108" t="s">
        <v>347</v>
      </c>
      <c r="C10" s="109" t="s">
        <v>348</v>
      </c>
    </row>
    <row r="11" spans="2:3" ht="30" customHeight="1" x14ac:dyDescent="0.35">
      <c r="B11" s="108" t="s">
        <v>349</v>
      </c>
      <c r="C11" s="109" t="s">
        <v>350</v>
      </c>
    </row>
    <row r="12" spans="2:3" ht="30" customHeight="1" x14ac:dyDescent="0.35">
      <c r="B12" s="108" t="s">
        <v>147</v>
      </c>
      <c r="C12" s="109" t="s">
        <v>351</v>
      </c>
    </row>
    <row r="13" spans="2:3" ht="30" customHeight="1" x14ac:dyDescent="0.35">
      <c r="B13" s="108" t="s">
        <v>352</v>
      </c>
      <c r="C13" s="109" t="s">
        <v>353</v>
      </c>
    </row>
    <row r="14" spans="2:3" ht="30" customHeight="1" x14ac:dyDescent="0.35">
      <c r="B14" s="108" t="s">
        <v>271</v>
      </c>
      <c r="C14" s="109" t="s">
        <v>354</v>
      </c>
    </row>
    <row r="15" spans="2:3" ht="30" customHeight="1" x14ac:dyDescent="0.35">
      <c r="B15" s="108" t="s">
        <v>355</v>
      </c>
      <c r="C15" s="109" t="s">
        <v>356</v>
      </c>
    </row>
    <row r="16" spans="2:3" ht="30" customHeight="1" x14ac:dyDescent="0.35">
      <c r="B16" s="108" t="s">
        <v>122</v>
      </c>
      <c r="C16" s="109" t="s">
        <v>357</v>
      </c>
    </row>
    <row r="17" spans="2:3" ht="30" customHeight="1" x14ac:dyDescent="0.35">
      <c r="B17" s="108" t="s">
        <v>124</v>
      </c>
      <c r="C17" s="109" t="s">
        <v>358</v>
      </c>
    </row>
    <row r="18" spans="2:3" ht="30" customHeight="1" x14ac:dyDescent="0.35">
      <c r="B18" s="108" t="s">
        <v>359</v>
      </c>
      <c r="C18" s="109" t="s">
        <v>360</v>
      </c>
    </row>
    <row r="19" spans="2:3" ht="30" customHeight="1" x14ac:dyDescent="0.35">
      <c r="B19" s="108" t="s">
        <v>361</v>
      </c>
      <c r="C19" s="109" t="s">
        <v>362</v>
      </c>
    </row>
    <row r="20" spans="2:3" ht="30" customHeight="1" x14ac:dyDescent="0.35">
      <c r="B20" s="108" t="s">
        <v>363</v>
      </c>
      <c r="C20" s="109" t="s">
        <v>364</v>
      </c>
    </row>
    <row r="21" spans="2:3" ht="30" customHeight="1" x14ac:dyDescent="0.35">
      <c r="B21" s="108" t="s">
        <v>365</v>
      </c>
      <c r="C21" s="109" t="s">
        <v>366</v>
      </c>
    </row>
    <row r="22" spans="2:3" ht="30" customHeight="1" x14ac:dyDescent="0.35">
      <c r="B22" s="108" t="s">
        <v>367</v>
      </c>
      <c r="C22" s="109" t="s">
        <v>368</v>
      </c>
    </row>
    <row r="23" spans="2:3" ht="30" customHeight="1" x14ac:dyDescent="0.35">
      <c r="B23" s="108" t="s">
        <v>369</v>
      </c>
      <c r="C23" s="109" t="s">
        <v>370</v>
      </c>
    </row>
    <row r="24" spans="2:3" ht="30" customHeight="1" x14ac:dyDescent="0.35">
      <c r="B24" s="108" t="s">
        <v>200</v>
      </c>
      <c r="C24" s="109" t="s">
        <v>371</v>
      </c>
    </row>
    <row r="25" spans="2:3" ht="30" customHeight="1" x14ac:dyDescent="0.35">
      <c r="B25" s="108" t="s">
        <v>372</v>
      </c>
      <c r="C25" s="109" t="s">
        <v>373</v>
      </c>
    </row>
    <row r="27" spans="2:3" ht="15" customHeight="1" x14ac:dyDescent="0.35">
      <c r="B27" s="132" t="s">
        <v>374</v>
      </c>
      <c r="C27" s="132"/>
    </row>
    <row r="28" spans="2:3" ht="30" customHeight="1" x14ac:dyDescent="0.35">
      <c r="B28" s="108" t="s">
        <v>375</v>
      </c>
      <c r="C28" s="109" t="s">
        <v>376</v>
      </c>
    </row>
    <row r="29" spans="2:3" ht="30" customHeight="1" x14ac:dyDescent="0.35">
      <c r="B29" s="108" t="s">
        <v>377</v>
      </c>
      <c r="C29" s="109" t="s">
        <v>378</v>
      </c>
    </row>
    <row r="30" spans="2:3" ht="30" customHeight="1" x14ac:dyDescent="0.35">
      <c r="B30" s="108" t="s">
        <v>379</v>
      </c>
      <c r="C30" s="109" t="s">
        <v>380</v>
      </c>
    </row>
    <row r="31" spans="2:3" ht="30" customHeight="1" x14ac:dyDescent="0.35">
      <c r="B31" s="108" t="s">
        <v>381</v>
      </c>
      <c r="C31" s="109" t="s">
        <v>382</v>
      </c>
    </row>
    <row r="32" spans="2:3" ht="30" customHeight="1" x14ac:dyDescent="0.35">
      <c r="B32" s="108" t="s">
        <v>383</v>
      </c>
      <c r="C32" s="109" t="s">
        <v>384</v>
      </c>
    </row>
    <row r="33" spans="2:3" ht="30" customHeight="1" x14ac:dyDescent="0.35">
      <c r="B33" s="108" t="s">
        <v>385</v>
      </c>
      <c r="C33" s="109" t="s">
        <v>386</v>
      </c>
    </row>
    <row r="34" spans="2:3" ht="30" customHeight="1" x14ac:dyDescent="0.35">
      <c r="B34" s="108" t="s">
        <v>387</v>
      </c>
      <c r="C34" s="109" t="s">
        <v>388</v>
      </c>
    </row>
    <row r="35" spans="2:3" ht="30" customHeight="1" x14ac:dyDescent="0.35">
      <c r="B35" s="108" t="s">
        <v>389</v>
      </c>
      <c r="C35" s="109" t="s">
        <v>390</v>
      </c>
    </row>
    <row r="36" spans="2:3" ht="30" customHeight="1" x14ac:dyDescent="0.35">
      <c r="B36" s="108" t="s">
        <v>391</v>
      </c>
      <c r="C36" s="109" t="s">
        <v>392</v>
      </c>
    </row>
    <row r="38" spans="2:3" ht="15" customHeight="1" x14ac:dyDescent="0.35">
      <c r="B38" s="132" t="s">
        <v>393</v>
      </c>
      <c r="C38" s="132"/>
    </row>
    <row r="39" spans="2:3" ht="30" customHeight="1" x14ac:dyDescent="0.35">
      <c r="B39" s="108" t="s">
        <v>394</v>
      </c>
      <c r="C39" s="109" t="s">
        <v>395</v>
      </c>
    </row>
    <row r="40" spans="2:3" ht="30" customHeight="1" x14ac:dyDescent="0.35">
      <c r="B40" s="108" t="s">
        <v>396</v>
      </c>
      <c r="C40" s="109" t="s">
        <v>397</v>
      </c>
    </row>
    <row r="41" spans="2:3" ht="30" customHeight="1" x14ac:dyDescent="0.35">
      <c r="B41" s="108" t="s">
        <v>398</v>
      </c>
      <c r="C41" s="109" t="s">
        <v>399</v>
      </c>
    </row>
    <row r="42" spans="2:3" ht="30" customHeight="1" x14ac:dyDescent="0.35">
      <c r="B42" s="108" t="s">
        <v>400</v>
      </c>
      <c r="C42" s="109" t="s">
        <v>401</v>
      </c>
    </row>
    <row r="43" spans="2:3" ht="30" customHeight="1" x14ac:dyDescent="0.35">
      <c r="B43" s="108" t="s">
        <v>402</v>
      </c>
      <c r="C43" s="109" t="s">
        <v>403</v>
      </c>
    </row>
  </sheetData>
  <mergeCells count="4">
    <mergeCell ref="B1:C1"/>
    <mergeCell ref="B4:C4"/>
    <mergeCell ref="B27:C27"/>
    <mergeCell ref="B38:C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Recommendation</vt:lpstr>
      <vt:lpstr>Assumptions</vt:lpstr>
      <vt:lpstr>WACC</vt:lpstr>
      <vt:lpstr>Depreciation</vt:lpstr>
      <vt:lpstr>Loan Schedule</vt:lpstr>
      <vt:lpstr>Working Capital</vt:lpstr>
      <vt:lpstr>P&amp;L and FCF</vt:lpstr>
      <vt:lpstr>Scenarios</vt:lpstr>
      <vt:lpstr>Sources &amp; Notes</vt:lpstr>
      <vt:lpstr>Sources &amp; Notes1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Jolae</dc:creator>
  <dc:description/>
  <cp:lastModifiedBy>Jolae Gomes</cp:lastModifiedBy>
  <cp:revision>0</cp:revision>
  <dcterms:created xsi:type="dcterms:W3CDTF">2026-04-24T13:47:05Z</dcterms:created>
  <dcterms:modified xsi:type="dcterms:W3CDTF">2026-04-27T18:35:16Z</dcterms:modified>
  <dc:language>en-US</dc:language>
</cp:coreProperties>
</file>